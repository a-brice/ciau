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ugus\OneDrive\Bureau\Disque local\CIAU PROJET 2026\"/>
    </mc:Choice>
  </mc:AlternateContent>
  <xr:revisionPtr revIDLastSave="0" documentId="8_{BB48102D-27D5-4D52-8BD5-AC3C297322AF}" xr6:coauthVersionLast="47" xr6:coauthVersionMax="47" xr10:uidLastSave="{00000000-0000-0000-0000-000000000000}"/>
  <bookViews>
    <workbookView xWindow="3696" yWindow="3360" windowWidth="17280" windowHeight="8880" xr2:uid="{00000000-000D-0000-FFFF-FFFF00000000}"/>
  </bookViews>
  <sheets>
    <sheet name="Liste de projets " sheetId="6" r:id="rId1"/>
    <sheet name="Fiche de Suivi" sheetId="9" r:id="rId2"/>
    <sheet name="Fiche Activité CIAU" sheetId="1" r:id="rId3"/>
    <sheet name="Archives" sheetId="7" r:id="rId4"/>
    <sheet name="Liste des contrats" sheetId="4" r:id="rId5"/>
  </sheets>
  <definedNames>
    <definedName name="_xlnm._FilterDatabase" localSheetId="4" hidden="1">'Liste des contrats'!$B$4:$F$74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52" i="9" l="1"/>
  <c r="D724" i="9"/>
  <c r="E720" i="9"/>
  <c r="D690" i="9"/>
  <c r="E686" i="9"/>
  <c r="E618" i="9"/>
  <c r="D622" i="9"/>
  <c r="D656" i="9"/>
  <c r="E586" i="9"/>
  <c r="D590" i="9"/>
  <c r="D556" i="9"/>
  <c r="E552" i="9"/>
  <c r="D522" i="9"/>
  <c r="E518" i="9"/>
  <c r="D488" i="9"/>
  <c r="E484" i="9"/>
  <c r="D454" i="9"/>
  <c r="E450" i="9"/>
  <c r="D421" i="9"/>
  <c r="D387" i="9"/>
  <c r="E350" i="9"/>
  <c r="D322" i="9"/>
  <c r="E318" i="9"/>
  <c r="E285" i="9"/>
  <c r="D289" i="9"/>
  <c r="E252" i="9"/>
  <c r="D256" i="9"/>
  <c r="D223" i="9"/>
  <c r="E219" i="9"/>
  <c r="D190" i="9"/>
  <c r="D157" i="9"/>
  <c r="E186" i="9"/>
  <c r="C23" i="6"/>
  <c r="D125" i="9"/>
  <c r="E153" i="9"/>
  <c r="D95" i="9"/>
  <c r="E56" i="9"/>
  <c r="D60" i="9"/>
  <c r="F41" i="9" l="1"/>
  <c r="A27" i="6"/>
  <c r="A26" i="6" s="1"/>
  <c r="A25" i="6" s="1"/>
  <c r="A24" i="6" s="1"/>
  <c r="A23" i="6" s="1"/>
  <c r="A22" i="6" s="1"/>
  <c r="A21" i="6" s="1"/>
  <c r="A20" i="6" s="1"/>
  <c r="A19" i="6" s="1"/>
  <c r="A18" i="6" s="1"/>
  <c r="A17" i="6" s="1"/>
  <c r="A16" i="6" s="1"/>
  <c r="A15" i="6" s="1"/>
  <c r="A14" i="6" s="1"/>
  <c r="A13" i="6" s="1"/>
  <c r="A12" i="6" s="1"/>
  <c r="A11" i="6" s="1"/>
  <c r="A10" i="6" s="1"/>
  <c r="A9" i="6" s="1"/>
  <c r="A8" i="6" s="1"/>
  <c r="A7" i="6" s="1"/>
  <c r="A6" i="6" s="1"/>
  <c r="A5" i="6" s="1"/>
  <c r="A5" i="4" l="1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5" i="4"/>
  <c r="C15" i="4"/>
  <c r="B16" i="4"/>
  <c r="C16" i="4"/>
  <c r="B17" i="4"/>
  <c r="C17" i="4"/>
  <c r="B18" i="4"/>
  <c r="C18" i="4"/>
  <c r="A113" i="4"/>
  <c r="A112" i="4" s="1"/>
  <c r="A111" i="4" s="1"/>
  <c r="A110" i="4" s="1"/>
  <c r="A109" i="4" s="1"/>
  <c r="A108" i="4" s="1"/>
  <c r="A107" i="4" s="1"/>
  <c r="A106" i="4" s="1"/>
  <c r="A105" i="4" s="1"/>
  <c r="A104" i="4" s="1"/>
  <c r="A103" i="4" s="1"/>
  <c r="A102" i="4" s="1"/>
  <c r="A101" i="4" s="1"/>
  <c r="A100" i="4" s="1"/>
  <c r="A99" i="4" s="1"/>
  <c r="A98" i="4" s="1"/>
  <c r="A97" i="4" s="1"/>
  <c r="A96" i="4" s="1"/>
  <c r="A95" i="4" s="1"/>
  <c r="A94" i="4" s="1"/>
  <c r="A93" i="4" s="1"/>
  <c r="A92" i="4" s="1"/>
  <c r="A91" i="4" s="1"/>
  <c r="A90" i="4" s="1"/>
  <c r="A89" i="4" s="1"/>
  <c r="A88" i="4" s="1"/>
  <c r="A87" i="4" s="1"/>
  <c r="A86" i="4" s="1"/>
  <c r="A85" i="4" s="1"/>
  <c r="A84" i="4" s="1"/>
  <c r="A83" i="4" s="1"/>
  <c r="A82" i="4" s="1"/>
  <c r="A81" i="4" s="1"/>
  <c r="A80" i="4" s="1"/>
  <c r="A79" i="4" s="1"/>
  <c r="A78" i="4" s="1"/>
  <c r="A77" i="4" s="1"/>
  <c r="A76" i="4" s="1"/>
  <c r="A75" i="4" s="1"/>
  <c r="A74" i="4" s="1"/>
  <c r="A73" i="4" s="1"/>
  <c r="A72" i="4" s="1"/>
  <c r="A71" i="4" s="1"/>
  <c r="A70" i="4" s="1"/>
  <c r="A69" i="4" s="1"/>
  <c r="A68" i="4" s="1"/>
  <c r="A67" i="4" s="1"/>
  <c r="A66" i="4" s="1"/>
  <c r="A65" i="4" s="1"/>
  <c r="A64" i="4" s="1"/>
  <c r="A63" i="4" s="1"/>
  <c r="A62" i="4" s="1"/>
  <c r="A61" i="4" s="1"/>
  <c r="A60" i="4" s="1"/>
  <c r="A59" i="4" s="1"/>
  <c r="A58" i="4" s="1"/>
  <c r="A57" i="4" s="1"/>
  <c r="A56" i="4" s="1"/>
  <c r="A55" i="4" s="1"/>
  <c r="A54" i="4" s="1"/>
  <c r="A53" i="4" s="1"/>
  <c r="A52" i="4" s="1"/>
  <c r="A51" i="4" s="1"/>
  <c r="A50" i="4" s="1"/>
  <c r="A49" i="4" s="1"/>
  <c r="A48" i="4" s="1"/>
  <c r="A47" i="4" s="1"/>
  <c r="A46" i="4" s="1"/>
  <c r="A45" i="4" s="1"/>
  <c r="A44" i="4" s="1"/>
  <c r="A43" i="4" s="1"/>
  <c r="A42" i="4" s="1"/>
  <c r="A41" i="4" s="1"/>
  <c r="A40" i="4" s="1"/>
  <c r="A39" i="4" s="1"/>
  <c r="A38" i="4" s="1"/>
  <c r="A37" i="4" s="1"/>
  <c r="A36" i="4" s="1"/>
  <c r="A35" i="4" s="1"/>
  <c r="A34" i="4" s="1"/>
  <c r="A33" i="4" s="1"/>
  <c r="A32" i="4" s="1"/>
  <c r="A31" i="4" s="1"/>
  <c r="A30" i="4" s="1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B14" i="6"/>
  <c r="E417" i="9" s="1"/>
  <c r="B15" i="6"/>
  <c r="E383" i="9" s="1"/>
  <c r="B23" i="6"/>
  <c r="E121" i="9" s="1"/>
  <c r="B24" i="6"/>
  <c r="E91" i="9" s="1"/>
  <c r="B1531" i="1" l="1"/>
  <c r="B1530" i="1"/>
  <c r="B1453" i="1" l="1"/>
  <c r="B1452" i="1"/>
  <c r="B26" i="6" l="1"/>
  <c r="B1342" i="1" l="1"/>
  <c r="B1258" i="1" l="1"/>
  <c r="B1176" i="1" l="1"/>
  <c r="B1093" i="1" l="1"/>
  <c r="B1513" i="1" l="1"/>
  <c r="B1439" i="1" l="1"/>
  <c r="B874" i="1"/>
  <c r="B781" i="1"/>
  <c r="B1022" i="1" l="1"/>
  <c r="B690" i="1"/>
  <c r="B610" i="1"/>
  <c r="B539" i="1"/>
  <c r="B1013" i="1" l="1"/>
  <c r="B772" i="1" l="1"/>
  <c r="B933" i="1"/>
  <c r="B600" i="1"/>
  <c r="B680" i="1"/>
  <c r="B296" i="1"/>
  <c r="B7" i="4" s="1"/>
  <c r="B529" i="1"/>
  <c r="A30" i="6" l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</calcChain>
</file>

<file path=xl/sharedStrings.xml><?xml version="1.0" encoding="utf-8"?>
<sst xmlns="http://schemas.openxmlformats.org/spreadsheetml/2006/main" count="4018" uniqueCount="781">
  <si>
    <t>DESIGNATION</t>
  </si>
  <si>
    <t>RESPONSABLE</t>
  </si>
  <si>
    <t>DELAI</t>
  </si>
  <si>
    <t>OBSERVATIONS</t>
  </si>
  <si>
    <t>ACTIVITES SEMAINE</t>
  </si>
  <si>
    <t>Responsable Administratif et Financier</t>
  </si>
  <si>
    <t>M. Eric KOUMADO</t>
  </si>
  <si>
    <t>FICHE ACTIVITE CIAU</t>
  </si>
  <si>
    <t>Bureaux</t>
  </si>
  <si>
    <t>Logistique &amp; Divers</t>
  </si>
  <si>
    <t>Résidentiel &amp; Bureaux</t>
  </si>
  <si>
    <t>Hospitalier</t>
  </si>
  <si>
    <t xml:space="preserve">Hôtel </t>
  </si>
  <si>
    <t>Programme Immobiler</t>
  </si>
  <si>
    <t>Résidentiel (Privé)</t>
  </si>
  <si>
    <t>Indusriel (Institutionnel)</t>
  </si>
  <si>
    <t>Exemples de Projets :</t>
  </si>
  <si>
    <t>IDENTITE DU PROJET</t>
  </si>
  <si>
    <t>Maitre d'Ouvrage</t>
  </si>
  <si>
    <t>Responsable des Etudes</t>
  </si>
  <si>
    <t>Consultant extérieur</t>
  </si>
  <si>
    <t>COMMENTAIRES - AJUSTEMENTS</t>
  </si>
  <si>
    <t>LIVRABLES (Etats d'avancement)</t>
  </si>
  <si>
    <t>Contrat</t>
  </si>
  <si>
    <t>APS</t>
  </si>
  <si>
    <t>ADD</t>
  </si>
  <si>
    <t>DCE - DQE</t>
  </si>
  <si>
    <t>TRAVAUX</t>
  </si>
  <si>
    <t>COMPTABILITE</t>
  </si>
  <si>
    <t>Honoraires :</t>
  </si>
  <si>
    <t>Acompte 2</t>
  </si>
  <si>
    <t>Acompte 3</t>
  </si>
  <si>
    <t>DESCRIPTIF DU PROJET</t>
  </si>
  <si>
    <t>ITEM</t>
  </si>
  <si>
    <t>REFERENCE</t>
  </si>
  <si>
    <t>ITEMS</t>
  </si>
  <si>
    <t>BOAD</t>
  </si>
  <si>
    <t>Solde</t>
  </si>
  <si>
    <t xml:space="preserve">Acompte 1  : </t>
  </si>
  <si>
    <t>MME APEDO</t>
  </si>
  <si>
    <t>Pas d'honoraire</t>
  </si>
  <si>
    <t>Esquisses livrées, attente retour client</t>
  </si>
  <si>
    <t>En cours</t>
  </si>
  <si>
    <t>M. ASSILEVI</t>
  </si>
  <si>
    <t>3 497 308 F/mois</t>
  </si>
  <si>
    <t>SCICCO</t>
  </si>
  <si>
    <t>CITEALES FOREVER</t>
  </si>
  <si>
    <t>COMPAORE</t>
  </si>
  <si>
    <t>M. Eric BARBEN</t>
  </si>
  <si>
    <t>MME FAVIN (Piscine)</t>
  </si>
  <si>
    <t>MME FAVIN (Centre commercial)</t>
  </si>
  <si>
    <t>Dr AKOUVI</t>
  </si>
  <si>
    <t>M. AJAVON</t>
  </si>
  <si>
    <t>M. NANTOB</t>
  </si>
  <si>
    <t>MME NORMAN (SITO AEROPORT)</t>
  </si>
  <si>
    <t>MME NORMAN (CENTRE COMMERCIAL ADIDOGOME)</t>
  </si>
  <si>
    <t>Suspendu</t>
  </si>
  <si>
    <t>REFERENCES</t>
  </si>
  <si>
    <t>FICHE DE SUIVI PROJET</t>
  </si>
  <si>
    <t>REFERENCE :</t>
  </si>
  <si>
    <t>CLOMEGAH</t>
  </si>
  <si>
    <t>Travaux en cours</t>
  </si>
  <si>
    <t>DR JAMES</t>
  </si>
  <si>
    <t>MME LAURE</t>
  </si>
  <si>
    <t>M. ATAYI Eric</t>
  </si>
  <si>
    <t>M. GUENOU</t>
  </si>
  <si>
    <t>KEMPINSKY (HOTEL DE LA PAIX)</t>
  </si>
  <si>
    <t>M. SACHA</t>
  </si>
  <si>
    <t>SIAB</t>
  </si>
  <si>
    <t>MME AMORIN</t>
  </si>
  <si>
    <t>M. MEY (Villas ACCRA)</t>
  </si>
  <si>
    <t>M. AZIABLE (ACCRA)</t>
  </si>
  <si>
    <t>WEND KUNI BANK</t>
  </si>
  <si>
    <t>KADJE</t>
  </si>
  <si>
    <t>M. MEY (Abidjan)</t>
  </si>
  <si>
    <t>MEY (KEGUE)</t>
  </si>
  <si>
    <t>Pas de contrat</t>
  </si>
  <si>
    <t>M. ASSIGNON</t>
  </si>
  <si>
    <t>M. MISSIKA</t>
  </si>
  <si>
    <t>*</t>
  </si>
  <si>
    <t>CLINIQUE TAAMBA</t>
  </si>
  <si>
    <t>MME VIAZ(Résidence TOKOIN HOPITAL)</t>
  </si>
  <si>
    <t>MME VIAZ(IMMEUBLE)</t>
  </si>
  <si>
    <t>Expertise Pape DEMBA N'DIAYE</t>
  </si>
  <si>
    <t>Siège Immeuble EGC</t>
  </si>
  <si>
    <t>Projet Résidence M. Hervé SODATONOU</t>
  </si>
  <si>
    <t>Terrain Client MONTARGIS</t>
  </si>
  <si>
    <t>M. AZIAGBE (Villa R+1)</t>
  </si>
  <si>
    <t>MME EGUE Lauraine (Villa R+1)</t>
  </si>
  <si>
    <t>MME MAKEDA</t>
  </si>
  <si>
    <t>AFRIQUE DEVELOPPEMENT GROUPE DUVAL (CENTRE COMMERCIAL LOME 2)</t>
  </si>
  <si>
    <t>ETAT</t>
  </si>
  <si>
    <t>Obsolète</t>
  </si>
  <si>
    <t xml:space="preserve">COMEX (M. GBIKPI) </t>
  </si>
  <si>
    <t>Mme PARAISO (Villa)</t>
  </si>
  <si>
    <t>MERCURIA WOGA</t>
  </si>
  <si>
    <t>Projet M. ATSU (Villa)</t>
  </si>
  <si>
    <t>PISCINE GOZAN</t>
  </si>
  <si>
    <t>Projet EDEM (POPOCITY)</t>
  </si>
  <si>
    <t>Immeuble M. FOARD (Boulevard)</t>
  </si>
  <si>
    <t>Immeuble MME KOFI</t>
  </si>
  <si>
    <t>Projet AMLAME (DG)</t>
  </si>
  <si>
    <t>Projet SEVON TSEVON</t>
  </si>
  <si>
    <t>Complex Hotelière BAMAKO</t>
  </si>
  <si>
    <t>FIADJOE (CAVEAU)</t>
  </si>
  <si>
    <t>VILLA DO</t>
  </si>
  <si>
    <t>SAM (AGOE)</t>
  </si>
  <si>
    <t>BCEAO</t>
  </si>
  <si>
    <t>Projet ETI (Parking)</t>
  </si>
  <si>
    <t>EPP AGOTEKPE</t>
  </si>
  <si>
    <t>Projet CIAU</t>
  </si>
  <si>
    <t>CIM TOGO (Permis)</t>
  </si>
  <si>
    <t>Projet RWL</t>
  </si>
  <si>
    <t>BIDC (Réhabilitation)</t>
  </si>
  <si>
    <t>BIDC (TOURNIQUET)</t>
  </si>
  <si>
    <t>BIDC (CONTRÔLE D'ACCES)</t>
  </si>
  <si>
    <t>FOUAD (Immeuble)</t>
  </si>
  <si>
    <t>ZOTCHI M.  (Guérite)</t>
  </si>
  <si>
    <t>MME LOUKOU (Pharmacie)</t>
  </si>
  <si>
    <t>MME LOUKOU (Appartement)</t>
  </si>
  <si>
    <t>M.  EHE (KPOGAN PLAGE)</t>
  </si>
  <si>
    <t>M. GBIPKI (Villa)</t>
  </si>
  <si>
    <t>DOSSAH/M. EHE (TOTSI)</t>
  </si>
  <si>
    <t>M. DOSSAH (VILLAGE)</t>
  </si>
  <si>
    <t>M. DOSSAH (RESIDENCE DU BENIN)</t>
  </si>
  <si>
    <t>M. DOSSAH (NYEKONAKPOE)</t>
  </si>
  <si>
    <t>HOTEL NOURA (ABIDJAN)</t>
  </si>
  <si>
    <t>JACQUES SEGBEFIA (Villa)</t>
  </si>
  <si>
    <t>Fille KADJE</t>
  </si>
  <si>
    <t>Dépendance TCHIALOU</t>
  </si>
  <si>
    <t>Projet TEMPLE (AMLAME)</t>
  </si>
  <si>
    <t>Projet BOUVAREL</t>
  </si>
  <si>
    <t>Projet 4 Villas M. GRANT A</t>
  </si>
  <si>
    <t>M. GUERALD</t>
  </si>
  <si>
    <t>Projet Villa KADJE (ABIDJAN)</t>
  </si>
  <si>
    <t>Projet M. FOWEY TCHIALON</t>
  </si>
  <si>
    <t>Potentiel</t>
  </si>
  <si>
    <t>Expertise prêt immobilier BOAD : Mme MIRANDA DE OLIVERA Blanca</t>
  </si>
  <si>
    <t>RAS</t>
  </si>
  <si>
    <t>A déterminer</t>
  </si>
  <si>
    <t>2 500 000/Agence</t>
  </si>
  <si>
    <t>Projet PARK 54 - OCEANE</t>
  </si>
  <si>
    <t>Pas contrat signé</t>
  </si>
  <si>
    <t>Non rentable</t>
  </si>
  <si>
    <t>nas de contrat</t>
  </si>
  <si>
    <t>aas de contrat</t>
  </si>
  <si>
    <t>jas de contrat</t>
  </si>
  <si>
    <t>das de contrat</t>
  </si>
  <si>
    <t>mas de contrat</t>
  </si>
  <si>
    <t>Rien payé</t>
  </si>
  <si>
    <t>Pas d'accord</t>
  </si>
  <si>
    <t>Sans suite</t>
  </si>
  <si>
    <t>Bouclé</t>
  </si>
  <si>
    <t>RES/0120/PR</t>
  </si>
  <si>
    <t>REB/0120/PR</t>
  </si>
  <si>
    <t>RES/0220/PR</t>
  </si>
  <si>
    <t>RES/0320/PR</t>
  </si>
  <si>
    <t>RES/0420/PR</t>
  </si>
  <si>
    <t>PRI/0220/IN</t>
  </si>
  <si>
    <t>RES/1119/PR</t>
  </si>
  <si>
    <t>BUR/1214/IN</t>
  </si>
  <si>
    <t>REB/1113/PR</t>
  </si>
  <si>
    <t>PRI/0517/PR</t>
  </si>
  <si>
    <t>BUR/0619/IN</t>
  </si>
  <si>
    <t>PRI/0616/PR</t>
  </si>
  <si>
    <t>RES/0116/PR</t>
  </si>
  <si>
    <t>RES/0817/PR</t>
  </si>
  <si>
    <t>PRI/1118/PR</t>
  </si>
  <si>
    <t>REB/1118/PR</t>
  </si>
  <si>
    <t>PRI/0519/PR</t>
  </si>
  <si>
    <t>RES/0819/PR</t>
  </si>
  <si>
    <t>RES/0617/PR</t>
  </si>
  <si>
    <t>BUR/0320/IN</t>
  </si>
  <si>
    <t>RES/0615/PR</t>
  </si>
  <si>
    <t>RES/1014/PR</t>
  </si>
  <si>
    <t>RES/1114/PR</t>
  </si>
  <si>
    <t>HOP/0816/PR</t>
  </si>
  <si>
    <t>RES/0516/PR</t>
  </si>
  <si>
    <t>PRI/0516/PR</t>
  </si>
  <si>
    <t>BUR/0620/PR</t>
  </si>
  <si>
    <t>RES/0119/PR</t>
  </si>
  <si>
    <t>RES/0217/PR</t>
  </si>
  <si>
    <t>PHA/1118/PR</t>
  </si>
  <si>
    <t>RES/1118/PR</t>
  </si>
  <si>
    <t>Pas commencé</t>
  </si>
  <si>
    <t>RES/0419/PR</t>
  </si>
  <si>
    <t>RES/0619/PR</t>
  </si>
  <si>
    <t>PRI/1214/IN</t>
  </si>
  <si>
    <t>PRI/1214/PR</t>
  </si>
  <si>
    <t>RES/0616/PR</t>
  </si>
  <si>
    <t>RES/0518/PR</t>
  </si>
  <si>
    <t>BUR/1119/PR</t>
  </si>
  <si>
    <t>PRI/…./PR</t>
  </si>
  <si>
    <t>RES/…./PR</t>
  </si>
  <si>
    <t>DIV/0606/PR</t>
  </si>
  <si>
    <t>RES/1217/PR</t>
  </si>
  <si>
    <t>M. MEY (ADEWI)</t>
  </si>
  <si>
    <t>MME KOUMETSRON Anti Edem</t>
  </si>
  <si>
    <t>RES/0620/PR</t>
  </si>
  <si>
    <t>M. MEY (ABIDJAN)</t>
  </si>
  <si>
    <t>Mme Ami N'KUEVEGE</t>
  </si>
  <si>
    <t>APPEL D'OFFRE AUC</t>
  </si>
  <si>
    <t>M. KOEVI</t>
  </si>
  <si>
    <t>RES/0720/PR</t>
  </si>
  <si>
    <t>KOUMETSRON Anti Edem (Villa Duplex à MONPKOKPO)</t>
  </si>
  <si>
    <t>Expertise ECOBANK contre M. GAGOU</t>
  </si>
  <si>
    <t>EXP/0620/PR</t>
  </si>
  <si>
    <t>Fait</t>
  </si>
  <si>
    <t>M. Franck THIOMBIANO</t>
  </si>
  <si>
    <t>Responsable Technique Archi</t>
  </si>
  <si>
    <t>Responsable Technique œuvres secondaires</t>
  </si>
  <si>
    <t>M. Augustin AKOUVI</t>
  </si>
  <si>
    <t>Mlle Abigaël AZIATI</t>
  </si>
  <si>
    <t>Semaine du 25/03 au 29/03/2024</t>
  </si>
  <si>
    <t>Semaine du 01/04 au 05/04/2024</t>
  </si>
  <si>
    <t>Mois : AVRIL 2024</t>
  </si>
  <si>
    <t>Semaine du 29/04 au 30/04/2024</t>
  </si>
  <si>
    <t>Mois : MAI 2024</t>
  </si>
  <si>
    <t>Semaine du 01/05 au 03/05/2024</t>
  </si>
  <si>
    <t>Semaine du 06/05 au 10/05/2024</t>
  </si>
  <si>
    <t>Semaine du 13/05 au 17/05/2024</t>
  </si>
  <si>
    <t>BUR/…./PR</t>
  </si>
  <si>
    <t>REB/…./PR</t>
  </si>
  <si>
    <t>HOT/…./PR</t>
  </si>
  <si>
    <t>HOS/…./PR</t>
  </si>
  <si>
    <t>IND/…./IN</t>
  </si>
  <si>
    <t xml:space="preserve">Construction </t>
  </si>
  <si>
    <t>Projet de construction d'un immeuble résidentiel R+5 à Cocody 2 Plateaux</t>
  </si>
  <si>
    <t>M. TAY Komi Biova Benoit</t>
  </si>
  <si>
    <t>M. Thiombiano Franck</t>
  </si>
  <si>
    <t>Les Citéales d’Angré.</t>
  </si>
  <si>
    <t>MAÎTRE D'OUVRAGE</t>
  </si>
  <si>
    <t>DECLENCHEMENT FACTURATION</t>
  </si>
  <si>
    <t>Suivi chantier</t>
  </si>
  <si>
    <t>IR6/02-2023/LT</t>
  </si>
  <si>
    <t>TACHES</t>
  </si>
  <si>
    <t>Administratives et Financières</t>
  </si>
  <si>
    <t>Etudes Architecturales et Techniques</t>
  </si>
  <si>
    <t>Suivis Etudes et Travaux</t>
  </si>
  <si>
    <t>M. Erick KOUMADO</t>
  </si>
  <si>
    <t>Barben</t>
  </si>
  <si>
    <t xml:space="preserve">Boad - Guérites </t>
  </si>
  <si>
    <t>Boad - Bureaux DPA</t>
  </si>
  <si>
    <t>Kara</t>
  </si>
  <si>
    <t>NSIA Totsi</t>
  </si>
  <si>
    <t>NSIA Dapaong</t>
  </si>
  <si>
    <t>Mise à jour des fiches de suivi projets</t>
  </si>
  <si>
    <t>Tour Mono</t>
  </si>
  <si>
    <t>IAF15/01-2023/LT</t>
  </si>
  <si>
    <t>BOAD 05/2023/LT</t>
  </si>
  <si>
    <t>BOAD 06/2024/LT</t>
  </si>
  <si>
    <t>PNHG 01/05-2023</t>
  </si>
  <si>
    <t>NSIA 01/08-2022</t>
  </si>
  <si>
    <t>NSIA 02/08-2022</t>
  </si>
  <si>
    <t>Envoi à M. SEGBEDJI du courrier concernant les travaux supplémentaires de ELCO - NSIA TOTSI</t>
  </si>
  <si>
    <t>Le 26/03/2024</t>
  </si>
  <si>
    <t>Signature PV de Réception provisoire avec levées de réserves NETIS - NSIA DAPAONG</t>
  </si>
  <si>
    <t>Le 25/03/2024</t>
  </si>
  <si>
    <t>Aménagements intérieurs</t>
  </si>
  <si>
    <t xml:space="preserve">Pc- attente notice de sécurité incendie </t>
  </si>
  <si>
    <t>Réunion de cadrage avec la sécurité Boad</t>
  </si>
  <si>
    <t>Aménagements intérieurs Attente auscultation de la structure existante</t>
  </si>
  <si>
    <t>Conception architecturale en cours</t>
  </si>
  <si>
    <t>Villa Mme Anthony</t>
  </si>
  <si>
    <t>Villa01/11-2023/LT</t>
  </si>
  <si>
    <t>Plan de plomberie - électricité</t>
  </si>
  <si>
    <t>Centre Commercial GTA SHOP'IN Lomé</t>
  </si>
  <si>
    <t>CC01/04-2019</t>
  </si>
  <si>
    <t>Semaine du 08/04 au 13/04/2024</t>
  </si>
  <si>
    <t>5 553780 F</t>
  </si>
  <si>
    <t>M. ATAYI Facture APS 2 Villas</t>
  </si>
  <si>
    <t>1 000 000 F</t>
  </si>
  <si>
    <t>Suivi hebdomadaire</t>
  </si>
  <si>
    <t>Rappeler M. atayi</t>
  </si>
  <si>
    <t>Le 09/04/2024</t>
  </si>
  <si>
    <t xml:space="preserve">A déposer </t>
  </si>
  <si>
    <t xml:space="preserve">NSIA Dapaong </t>
  </si>
  <si>
    <t>Pasteur ZOGLO Thomas</t>
  </si>
  <si>
    <t>600 000 F</t>
  </si>
  <si>
    <t>Facture d'acompte à déposer</t>
  </si>
  <si>
    <t>ORA BANK ASSIVITO</t>
  </si>
  <si>
    <t>19 094 813 F</t>
  </si>
  <si>
    <t>Facture d'acompte déposée</t>
  </si>
  <si>
    <t>Demande recours M. AGLI</t>
  </si>
  <si>
    <t>Franck TAMBIANO</t>
  </si>
  <si>
    <t>Johnson AMPAH</t>
  </si>
  <si>
    <t>Abigaël AZIATI</t>
  </si>
  <si>
    <t>Erick KOUMADO</t>
  </si>
  <si>
    <t>Augustin AKOUVI</t>
  </si>
  <si>
    <t>1 - Finalisation des contrats de travail du personnel</t>
  </si>
  <si>
    <t>2 -  Régularisation des documents administratifs</t>
  </si>
  <si>
    <t>Bilan annuel OTR</t>
  </si>
  <si>
    <t>Carte d’Opérateur Economique</t>
  </si>
  <si>
    <t>Quitus Fiscal</t>
  </si>
  <si>
    <t>CNSS</t>
  </si>
  <si>
    <t>Bilan déposé le 31 Mars 2024</t>
  </si>
  <si>
    <t>Mise en place des documents y relatifs</t>
  </si>
  <si>
    <t>Rapport d’expertise BOAD Mme Doudou MELESS</t>
  </si>
  <si>
    <t>Rapport d’expertise BOAD Mme Seybatha NACRO</t>
  </si>
  <si>
    <t>Rapport d’expertise BOAD Mr Amara KOUYATE</t>
  </si>
  <si>
    <t>Rapport d’expertise BOAD Mr Habib Diop</t>
  </si>
  <si>
    <t>À facturer</t>
  </si>
  <si>
    <t>Lancement de permis de construire projet de construction Villa Mme Marie Anthony S/C Mme Colette Aquereburu</t>
  </si>
  <si>
    <t>En attente d’envoi de documents par Mme Aquereburu –</t>
  </si>
  <si>
    <t>Lancement de permis de construire projet de construction Villa de Mme, Mr Barben</t>
  </si>
  <si>
    <t>Notice incendie est prête. Attestation sécurité incendie à réaliser par les sapeurs-pompiers</t>
  </si>
  <si>
    <t>Suivi du permis de construire de Mr GOZAN (Boukarou)</t>
  </si>
  <si>
    <t>A récupérer le 09/ 04/ 24 à Golf 5</t>
  </si>
  <si>
    <t>Achat d’onduleurs pour ordinateurs</t>
  </si>
  <si>
    <t xml:space="preserve">BOAD :  travaux annexe Sud </t>
  </si>
  <si>
    <t>facture pour solde</t>
  </si>
  <si>
    <t>Réalisation CF, Cf, Plomberie, Climatisation et DQE</t>
  </si>
  <si>
    <t>Le 04/04/2024</t>
  </si>
  <si>
    <t>09/04/2024 : Bilan de puissance en cours</t>
  </si>
  <si>
    <t>Facture pour acompte</t>
  </si>
  <si>
    <t>Facture à déposer</t>
  </si>
  <si>
    <t>3 - PERMIS DE CONSTRUIRE</t>
  </si>
  <si>
    <t>Attente passage NETIS</t>
  </si>
  <si>
    <t>Déposer le :</t>
  </si>
  <si>
    <t>?</t>
  </si>
  <si>
    <t>Boad - villa vice président</t>
  </si>
  <si>
    <t>BOAD 07/2024/LT</t>
  </si>
  <si>
    <t>Aménagements extérieurs de la piscine et une salle d'étude</t>
  </si>
  <si>
    <t>Boad - centre de loisirs</t>
  </si>
  <si>
    <t>BOAD 08/2024/LT</t>
  </si>
  <si>
    <t>Plan de plomberie - électricité- perspectives extérieurs</t>
  </si>
  <si>
    <t>Suivis des travaux</t>
  </si>
  <si>
    <t>Plan de plomberie - électricité-</t>
  </si>
  <si>
    <t>Le 22/04/2024</t>
  </si>
  <si>
    <t xml:space="preserve">09/04/2024 : Bilan de puissance </t>
  </si>
  <si>
    <t>Passage NETIS le 16/04/2024</t>
  </si>
  <si>
    <t>Traité</t>
  </si>
  <si>
    <t>Résidence Luc Arthur ADJOU</t>
  </si>
  <si>
    <t>Mission MOD</t>
  </si>
  <si>
    <t>Erick K</t>
  </si>
  <si>
    <t>Boad - Centre de documentation</t>
  </si>
  <si>
    <t>Mise à jour des projets Boad, assortis des offres d'honoraires</t>
  </si>
  <si>
    <t>BOAD 07/2023/LT</t>
  </si>
  <si>
    <t>BOAD 09/2024/LT</t>
  </si>
  <si>
    <t>DESCRIPTIF DU PROJET : IMMEUBLE RESIDENTIEL R+5 COCODY ABIDJAN</t>
  </si>
  <si>
    <t>Etudes travaux secondaires confiées à CER'ETI</t>
  </si>
  <si>
    <t>Cédric ASSIGNON</t>
  </si>
  <si>
    <t>Suivi et actualisation des plans archi et électricité</t>
  </si>
  <si>
    <t>Villa 01/04-2024/LT</t>
  </si>
  <si>
    <t>Le 08/04/2024</t>
  </si>
  <si>
    <t>M. Bras</t>
  </si>
  <si>
    <t>Mme Barben</t>
  </si>
  <si>
    <t>Transmission plans archcad à M. YANDA</t>
  </si>
  <si>
    <t>Centre commercial GTA Shoping Lomé</t>
  </si>
  <si>
    <t>Mme ANTHONY</t>
  </si>
  <si>
    <t>Villa02/04-024/LT</t>
  </si>
  <si>
    <t>Semaine du 22/04 au 26/04/2024</t>
  </si>
  <si>
    <t>Acompte 1  :  A la signature de contrat de maîtrise d’œuvre</t>
  </si>
  <si>
    <t xml:space="preserve">Acompte 2 : A la remise de l’Avant -projet  </t>
  </si>
  <si>
    <t xml:space="preserve">Acompte 3 : A la remise du Projet définitif et Instruction du Permis de Construire </t>
  </si>
  <si>
    <t>Acompte 4 :  A la remise des Plans d’exécution, devis quantitatif et estimatif des travaux</t>
  </si>
  <si>
    <t xml:space="preserve">Acompte 5 : A la notification de démarrage des travaux  </t>
  </si>
  <si>
    <t xml:space="preserve">Acompte 6 : Solde par décomptes mensuels suivant avancement des travaux </t>
  </si>
  <si>
    <t>TOTAL</t>
  </si>
  <si>
    <t>L’ensemble se décline en deux ailes séparées par un patio, une cage d’ascenseur et d’escaliers avec vue panoramique sur le patio.                                                                                                                   L’aile B située en façade postérieure comprend :                                                                                                                                                                                                                                                              • Huit (08) appartements de type F3 de surface moyenne habitable de 160 m², • Un Loft de type F4 d’une surface habitable de 285 m²                                                                                                                L’aile A donnant sur la façade principale comprend :                                                                                                                                                                                                                                                        • Quatre (04) appartements de type F4 de surface moyenne habitable de 187 m², • Un Loft de type F4 d’une surface habitable à 190 m²                                                                                                                 Soit au total 14 appartements dont : 2 Lofts, 4 appartements F4, et 8  appartements de type F3.                                                                                                                                                                                 Au titre des espaces communs, Il est prévu :                                                                                                                                                                                                                                                                    • Un hall d’entrée à contrôle d’accès sécurisé                                                                                                                                                                                                                                                                  • Dix neuf (19) places de parkings dont : 04 places pour les deux Lofts, 07 places pour les quatre F4 et 08 pour les F3.</t>
  </si>
  <si>
    <t> Etudes préliminaires (EP)</t>
  </si>
  <si>
    <t> Avant-Projet Sommaire (APS)</t>
  </si>
  <si>
    <t> Avant-Projet Détaillé (APD)</t>
  </si>
  <si>
    <t> Instruction du Permis de Construire (IPC)</t>
  </si>
  <si>
    <t xml:space="preserve"> Projet de Conception Général (PCG) </t>
  </si>
  <si>
    <t> Dossier de Consultation des Entreprises (DCE)</t>
  </si>
  <si>
    <t> Mise au Point des Marchés de Travaux (MDT</t>
  </si>
  <si>
    <t>Honoraires :52 500 000 Fcfa</t>
  </si>
  <si>
    <t>x</t>
  </si>
  <si>
    <t>Le 13/05/2024</t>
  </si>
  <si>
    <t>Boad - Parkings et clotures</t>
  </si>
  <si>
    <t>Attente photos existants par M. Bolouvi</t>
  </si>
  <si>
    <t>Mise à jour plans de climatisation, électricité, prises</t>
  </si>
  <si>
    <t>Le 10/05/2024</t>
  </si>
  <si>
    <t>Plans transmis à M. BOLOUVI le 13/05/24</t>
  </si>
  <si>
    <t xml:space="preserve">En attente de documents de Mme Aquereburu </t>
  </si>
  <si>
    <t>A récupérer le 15/05/24 à Golf 5</t>
  </si>
  <si>
    <t xml:space="preserve">Notice incendie est prête. Les sapeurs-pompiers ont envoyé leur facture à régler pour delivrer l'Attestation sécurité incendie </t>
  </si>
  <si>
    <t>Facture payée</t>
  </si>
  <si>
    <r>
      <t>Livrer le reste des documents dû au 1</t>
    </r>
    <r>
      <rPr>
        <vertAlign val="superscript"/>
        <sz val="11"/>
        <color rgb="FF000000"/>
        <rFont val="Calibri"/>
        <family val="2"/>
        <scheme val="minor"/>
      </rPr>
      <t>er</t>
    </r>
    <r>
      <rPr>
        <sz val="11"/>
        <color rgb="FF000000"/>
        <rFont val="Calibri"/>
        <family val="2"/>
        <scheme val="minor"/>
      </rPr>
      <t xml:space="preserve"> acompte avant une nouvelle facturation</t>
    </r>
  </si>
  <si>
    <t>3 363 000</t>
  </si>
  <si>
    <t xml:space="preserve">Déposée </t>
  </si>
  <si>
    <t>Le 03/05/2024</t>
  </si>
  <si>
    <t>Facture déposée</t>
  </si>
  <si>
    <t>A rappeler</t>
  </si>
  <si>
    <t>Convenir avec le pasteur d’une date de payement</t>
  </si>
  <si>
    <t>En attente de claircissent de la situation d’Orabank</t>
  </si>
  <si>
    <t>Prêt</t>
  </si>
  <si>
    <t>Beni</t>
  </si>
  <si>
    <t>Perspectives extérieurs 2eme version</t>
  </si>
  <si>
    <t>Attente retour facture envoyée</t>
  </si>
  <si>
    <t>Plan de plomberie - électricité- Dqe partie bar</t>
  </si>
  <si>
    <t>Dqe terrasse piscine</t>
  </si>
  <si>
    <t>Villa0é/04-024/LT</t>
  </si>
  <si>
    <t>Contrat Mod envoyé</t>
  </si>
  <si>
    <t>Attente retour Mo</t>
  </si>
  <si>
    <t>DQE Eclairage Parking</t>
  </si>
  <si>
    <t>DQE et plans d'éclairage parking et clôture</t>
  </si>
  <si>
    <t>Le 14/05/2024</t>
  </si>
  <si>
    <t>Plan d'escalier validé, en cours de fabrication</t>
  </si>
  <si>
    <t>Plans validés</t>
  </si>
  <si>
    <t>Dqe Fluides piscine</t>
  </si>
  <si>
    <t>Suivis des travaux en cours</t>
  </si>
  <si>
    <t>RDV avec M. Pascal fin mai 2024</t>
  </si>
  <si>
    <t>Début des travaux de terrassement 1er juin 2024</t>
  </si>
  <si>
    <t>Semaine du 21/05 au 24/05/2024</t>
  </si>
  <si>
    <t>Plans transmis</t>
  </si>
  <si>
    <t>DQE Eclairage Parking. Visite sur site prévue le 22/05/2024</t>
  </si>
  <si>
    <t>Le 22/05/2024</t>
  </si>
  <si>
    <t>En attente d'éclaircissent de la situation d’Orabank</t>
  </si>
  <si>
    <t>Mise en place des documents y relatifs : En cours</t>
  </si>
  <si>
    <t>Régularisation de nos comptes CNSS</t>
  </si>
  <si>
    <t>mise à jour</t>
  </si>
  <si>
    <t>A récupérer le 23/05/24 à Golf 5</t>
  </si>
  <si>
    <t>4 - RENCONTRES DE TRAVAIL</t>
  </si>
  <si>
    <t>* Villa VP</t>
  </si>
  <si>
    <t>Projet de construction d'une résidence de M. BARRO</t>
  </si>
  <si>
    <t>IR7/05-2024/LT</t>
  </si>
  <si>
    <t>Conception architecturale</t>
  </si>
  <si>
    <t>BOAD : Mise au point financière de nouvelles missions, notamment :</t>
  </si>
  <si>
    <t>* Aménagement bureaux DPA</t>
  </si>
  <si>
    <t>* Centre de Loisirs</t>
  </si>
  <si>
    <t>BOAD : Rencontre de travail relative aux prêts immobiliers du personnel de la Boad</t>
  </si>
  <si>
    <t>NSIA BANQUE : Relative facture Nsia Banque Dapaong</t>
  </si>
  <si>
    <t>Immeuble SCICCO : Recouvrement des impayés</t>
  </si>
  <si>
    <t>Le 24/05/2024</t>
  </si>
  <si>
    <r>
      <t xml:space="preserve">Relancer l'administration Scicco, </t>
    </r>
    <r>
      <rPr>
        <sz val="11"/>
        <color rgb="FFFF0000"/>
        <rFont val="Calibri"/>
        <family val="2"/>
        <scheme val="minor"/>
      </rPr>
      <t>montants à confirmer</t>
    </r>
  </si>
  <si>
    <r>
      <t>Livrer le reste des documents dû au 1</t>
    </r>
    <r>
      <rPr>
        <vertAlign val="superscript"/>
        <sz val="11"/>
        <rFont val="Calibri"/>
        <family val="2"/>
        <scheme val="minor"/>
      </rPr>
      <t>er</t>
    </r>
    <r>
      <rPr>
        <sz val="11"/>
        <rFont val="Calibri"/>
        <family val="2"/>
        <scheme val="minor"/>
      </rPr>
      <t xml:space="preserve"> acompte avant une nouvelle facturation</t>
    </r>
  </si>
  <si>
    <t>M. Bra</t>
  </si>
  <si>
    <t>Pc en cours</t>
  </si>
  <si>
    <t>Semaine du 27/05 au 31/05/2024</t>
  </si>
  <si>
    <t>Attente retour facture envoyée à Barben</t>
  </si>
  <si>
    <t>DQE et plans d'éclairage parking et clôture et panneaux solaires</t>
  </si>
  <si>
    <t>Auscultation de la structure existante.  Rédaction termes de références</t>
  </si>
  <si>
    <t>Dqe terrasse piscine,  travaux en cours</t>
  </si>
  <si>
    <t xml:space="preserve">Plans transmis sera à M. BOLOUVI </t>
  </si>
  <si>
    <t xml:space="preserve">DQE Eclairage Parking. </t>
  </si>
  <si>
    <t>Le 28/05/2024</t>
  </si>
  <si>
    <t>A rappeler mercredi 29/05</t>
  </si>
  <si>
    <t>Facture déposée (recouvrement en cours)</t>
  </si>
  <si>
    <t>43 349 106 Fcfa</t>
  </si>
  <si>
    <t>Relancer l'administration Scicco,</t>
  </si>
  <si>
    <t>Le 29/05/2024</t>
  </si>
  <si>
    <t>A récupérer le 29/05/24 à Golf 5</t>
  </si>
  <si>
    <t xml:space="preserve">Facture à confirmer et à déposer </t>
  </si>
  <si>
    <t>Rencontre effective</t>
  </si>
  <si>
    <t>3 410 000 Fcfa</t>
  </si>
  <si>
    <t>3 363 000 Fcfa TTC</t>
  </si>
  <si>
    <t xml:space="preserve">Solde honoraire maîtrise d'œuvre : 9 145 000                                               Facture Expertise immeuble : 29 879 406                                   Facture honoraire ISTPBI : 2 950 000                                           Facture honoraires GEOTECH : 1 374 700                  </t>
  </si>
  <si>
    <t>3 363 000 F</t>
  </si>
  <si>
    <t>185 000 F</t>
  </si>
  <si>
    <t>Rapport d’expertise BOAD Mr Amara KOUYATE 2è</t>
  </si>
  <si>
    <t>Rapport d’expertise BOAD Mme Doudou MELESS 2è</t>
  </si>
  <si>
    <t>Rapport d’expertise BOAD Mr Bakary GOITA 3è</t>
  </si>
  <si>
    <t>Payé</t>
  </si>
  <si>
    <t>Rapport d’expertise BOAD Mr Steven KAROH</t>
  </si>
  <si>
    <t>Facturé</t>
  </si>
  <si>
    <t>150 000 F</t>
  </si>
  <si>
    <t>Rapport d’expertise BOAD Mme DIA Gaissiri</t>
  </si>
  <si>
    <t>Rapport d’expertise BOAD Mme Seybatha NACRO 1e</t>
  </si>
  <si>
    <t>Rapport d’expertise BOAD Mr Adama Papa SACKO</t>
  </si>
  <si>
    <t>Rapport d’expertise BOAD Mr ASSITO Paulin 2è</t>
  </si>
  <si>
    <t>Rapport d’expertise BOAD Mr FOFANA Sifolo</t>
  </si>
  <si>
    <t>Rapport d’expertise BOAD Mr NDIAYE Pape Dem</t>
  </si>
  <si>
    <t>Rapport d’expertise BOAD Mr SANI Aboubacar</t>
  </si>
  <si>
    <t>Rapport d’expertise BOAD Mme OLYPIO Melissa</t>
  </si>
  <si>
    <t>Rapport d’expertise BOAD Mr BIAHOU Kouassi</t>
  </si>
  <si>
    <t>Rapport d’expertise BOAD Mr CISSE Cheikh</t>
  </si>
  <si>
    <t>A facturer</t>
  </si>
  <si>
    <t>1 410 000 F</t>
  </si>
  <si>
    <t>485 000 F</t>
  </si>
  <si>
    <t>Abandonné</t>
  </si>
  <si>
    <t>Addendum : Faire un rapport après retour de rdv avec les clients</t>
  </si>
  <si>
    <t xml:space="preserve">Solde honoraire maîtrise d'œuvre : 9 145 000                                               Facture Expertise immeuble : 29 879 406                                       Facture honoraire ISTPBI : 2 950 000                                                Facture honoraires GEOTECH : 1 374 700                  </t>
  </si>
  <si>
    <t>Promesse règlement fin juin suite entretien avec M. AGLI (courrier à faire)</t>
  </si>
  <si>
    <t>Boad - Guérites et clotures</t>
  </si>
  <si>
    <t xml:space="preserve">Boad - Parkings </t>
  </si>
  <si>
    <t>Faire offre financière</t>
  </si>
  <si>
    <t>Projet de construction d'une résidence de M. BAROUD</t>
  </si>
  <si>
    <t>Faire valider le projet au client</t>
  </si>
  <si>
    <r>
      <rPr>
        <sz val="11"/>
        <color rgb="FFFF0000"/>
        <rFont val="Calibri"/>
        <family val="2"/>
        <scheme val="minor"/>
      </rPr>
      <t xml:space="preserve">Faire mémo. </t>
    </r>
    <r>
      <rPr>
        <sz val="11"/>
        <color theme="1"/>
        <rFont val="Calibri"/>
        <family val="2"/>
        <scheme val="minor"/>
      </rPr>
      <t xml:space="preserve">Mise à jour des projets Boad, assortis des offres d'honoraires, </t>
    </r>
  </si>
  <si>
    <t xml:space="preserve">2 950 000 </t>
  </si>
  <si>
    <t xml:space="preserve">1 374 700 </t>
  </si>
  <si>
    <t>4 324 700</t>
  </si>
  <si>
    <t>Semaine du 10/06 au 14/06/2024</t>
  </si>
  <si>
    <t>Aps envoyé, Attente validation par le client</t>
  </si>
  <si>
    <t>APS envoyé</t>
  </si>
  <si>
    <t>Document à envoyer</t>
  </si>
  <si>
    <t>RDV avec M. Pascal 21 juin 2024</t>
  </si>
  <si>
    <t>contrat à signer mardi 18/06</t>
  </si>
  <si>
    <t>Début des travaux de terrassement début juillet 2024</t>
  </si>
  <si>
    <t>Projet CEFOP - KLEME</t>
  </si>
  <si>
    <t>Progrmme architectural à valider</t>
  </si>
  <si>
    <t>Réglé</t>
  </si>
  <si>
    <t>Rdv fin de mois</t>
  </si>
  <si>
    <r>
      <t>Relancer l'administration Scicco,</t>
    </r>
    <r>
      <rPr>
        <sz val="11"/>
        <color rgb="FFFF0000"/>
        <rFont val="Calibri"/>
        <family val="2"/>
        <scheme val="minor"/>
      </rPr>
      <t xml:space="preserve"> courrier envoyé</t>
    </r>
  </si>
  <si>
    <t>signé</t>
  </si>
  <si>
    <t>Régularisation de nos comptes CNSS, en cours</t>
  </si>
  <si>
    <t>Projet suspendu</t>
  </si>
  <si>
    <t>Addendum : Faire un rapport après retour de rdv avec les clients notamment Boad</t>
  </si>
  <si>
    <t>Rapport d’expertise BOAD Mme AGBEGNINOU Akossiwa</t>
  </si>
  <si>
    <t>BOAD :  mission nouveaux projets</t>
  </si>
  <si>
    <t>BOAD: Nouvelles missions</t>
  </si>
  <si>
    <t>14 700 000 F CFA</t>
  </si>
  <si>
    <t>Semaine du 19/08/ au 23/08/2024</t>
  </si>
  <si>
    <t>Aps envoyé, Attente validation par le client début septembre 2024</t>
  </si>
  <si>
    <t>Projet d'aménagement d'une terrasse piscine Barben</t>
  </si>
  <si>
    <t>Facture à envoyer</t>
  </si>
  <si>
    <t>Boad - salle d'audience du VP</t>
  </si>
  <si>
    <t>BOAD 10/2024/LT</t>
  </si>
  <si>
    <t xml:space="preserve">Factures transmises </t>
  </si>
  <si>
    <t>Appel d'offre lancé</t>
  </si>
  <si>
    <t>Attente validation de l'auscultation de structure</t>
  </si>
  <si>
    <t xml:space="preserve">Plans à réajuster suivant les lévés topo/ Réception des fouilles en puits pour semelles 19/08 </t>
  </si>
  <si>
    <t>choix du technicien pour suivis des travaux Gros œuvres. Se référer au contrat</t>
  </si>
  <si>
    <t>Début des travaux de terrassement début Octobre 2024</t>
  </si>
  <si>
    <t>CEFOP01/05-024</t>
  </si>
  <si>
    <t>Offre financière à soumettre</t>
  </si>
  <si>
    <t>Projet de construction d'un ensemble résidentiel à Agbalépédogan de Mme Agbonson</t>
  </si>
  <si>
    <t>IR8/06-024/LT</t>
  </si>
  <si>
    <t>Présentation du dqe au client / envoi de la 2e version avec sous-sol</t>
  </si>
  <si>
    <t>Projet de construction de deux villas jumélées de Mr D'Almeida</t>
  </si>
  <si>
    <t>Villa04/06-024/LT</t>
  </si>
  <si>
    <t>Projet de deux villas sis à Aflao de Mr Atayi</t>
  </si>
  <si>
    <t>Villa03/10-023/LT</t>
  </si>
  <si>
    <t>Augustin</t>
  </si>
  <si>
    <t>Transmissions du dossier d'exécution</t>
  </si>
  <si>
    <t>ATAHI IRIS et KIM</t>
  </si>
  <si>
    <t>Dossier complet en cours de réalisation</t>
  </si>
  <si>
    <t>Dossier complet à mettre à jour</t>
  </si>
  <si>
    <t>Le 19/08/2024</t>
  </si>
  <si>
    <t>Factures déposées le 08/08/2024</t>
  </si>
  <si>
    <t>Solde 325 000 F</t>
  </si>
  <si>
    <t>DCE à livrer le 23/08/24</t>
  </si>
  <si>
    <t>ORA BANK ASSIVITO - GUINEE</t>
  </si>
  <si>
    <t>En attente d'éclaircissent de la situation d’Orabank                                                                Envoie courrier à CONAKRY le 22/08/24</t>
  </si>
  <si>
    <t>Relancer Mme AUDREY le 19/08/24</t>
  </si>
  <si>
    <t>750 000 F</t>
  </si>
  <si>
    <t xml:space="preserve">Facture à ellaborer </t>
  </si>
  <si>
    <t>Semaine du 26/08/ au 30/08/2024</t>
  </si>
  <si>
    <t>Attente retour de Mme Bra</t>
  </si>
  <si>
    <t>Premier rendu en cours pour validation</t>
  </si>
  <si>
    <t>Projet Eglise presbytérienne</t>
  </si>
  <si>
    <t>Eg01/04-024/LT</t>
  </si>
  <si>
    <t>Modifications des plans en cours</t>
  </si>
  <si>
    <t>Projet Mme Bra</t>
  </si>
  <si>
    <t>Johnson, Beni</t>
  </si>
  <si>
    <t>Perspectives intérieures et détails</t>
  </si>
  <si>
    <t xml:space="preserve">Aps envoyé le 22/08/2024 pour validation </t>
  </si>
  <si>
    <t>Etablissement offre financière CIAU - BOAD</t>
  </si>
  <si>
    <t>Inventaires des équipements électriques (prises, interrupteurs, lampes, …)</t>
  </si>
  <si>
    <t>Faire valider le projet au client, pour mémoire</t>
  </si>
  <si>
    <t>Début de chantier : 12/08/2024; Suivi hebdomadaire chantier</t>
  </si>
  <si>
    <t>Etablir une offre détaillée des honoraires avec option barême ONAT</t>
  </si>
  <si>
    <t>Préparer un contrat et faire une facture de demande d'avance sur honoraires</t>
  </si>
  <si>
    <t>Conception architecturale en cours. Validation APS</t>
  </si>
  <si>
    <t>Facture pour solde</t>
  </si>
  <si>
    <t>FICHE ACTIVITES CIAU</t>
  </si>
  <si>
    <t>Rapport d'expertise BOAD Mr SACKO Adama</t>
  </si>
  <si>
    <t>Rpport d'expertise BOAD Mme AGBEGNINOU Akossiwa</t>
  </si>
  <si>
    <t xml:space="preserve">Rapport d'expertise BOAD Mr ASSITO Paulin 2è </t>
  </si>
  <si>
    <t>Rapport d'expertise BOAD Mr KOLANI</t>
  </si>
  <si>
    <t xml:space="preserve">Rapport d'expertise BOAD Mme ABASSAH Déla </t>
  </si>
  <si>
    <t>Rapport d'expertise BOAD Mr SACKO Adama 2è</t>
  </si>
  <si>
    <t>Rapport d'expertise BOAD Mme DIA</t>
  </si>
  <si>
    <t>Rapport d'expertise BOAD Mr KOUDAM Edem</t>
  </si>
  <si>
    <t>Rapport d'expertise BOAD Mr KOUYATE Amara 3è</t>
  </si>
  <si>
    <t>Rapport d'expertise BOAD Mr ASSITO Paulin 3è</t>
  </si>
  <si>
    <t>Rapport d'expertise BOAD Mme MELESS Doudou 3è</t>
  </si>
  <si>
    <t>Rapport d'expertise BOAD Mr SACKO Adama 3è</t>
  </si>
  <si>
    <t>Semaine du 02/09/ au 06/09/2024</t>
  </si>
  <si>
    <t>Etablissement offre financière validation : 04/09/24</t>
  </si>
  <si>
    <t>Courrier de Rappel 03/09</t>
  </si>
  <si>
    <t>11 200 000 + 3 500 000 =</t>
  </si>
  <si>
    <t>DCE à livrer le 02/09/24, facture à préparer et à envoyer</t>
  </si>
  <si>
    <t>Recours SCICCO-CIAU : 03/09/2024 . Validation du solde : 04/9/24</t>
  </si>
  <si>
    <t>Contrat Mme AGBOMSON</t>
  </si>
  <si>
    <t>Contrat à valider le 04/09/24</t>
  </si>
  <si>
    <t>Contrat M. D'Almeida</t>
  </si>
  <si>
    <t>Contrat à valider le 02/09/24</t>
  </si>
  <si>
    <t>11 200 000 F en cours de paiement et 3 500 000 F à réintroduire</t>
  </si>
  <si>
    <t>Mme AGBOMSON</t>
  </si>
  <si>
    <t>Etudes réalisée</t>
  </si>
  <si>
    <t>Visite effectuée, RAS</t>
  </si>
  <si>
    <t>Semaine du 09/09/ au /13/2024</t>
  </si>
  <si>
    <r>
      <t xml:space="preserve">En attente d'éclaircissent de la situation d’Orabank,suite changement de Directeur. Envoie courrier à CONAKRY le 22/08/24. </t>
    </r>
    <r>
      <rPr>
        <sz val="11"/>
        <color rgb="FFFF0000"/>
        <rFont val="Calibri"/>
        <family val="2"/>
        <scheme val="minor"/>
      </rPr>
      <t>Courrier à renvoyer</t>
    </r>
  </si>
  <si>
    <t>11 200 000 payé et 3 500 000 à réintroduire.      Prendre RDV avec M. KEITA le 09/09/24.     Rencontrer M. KEITA et GUINDO pour réintroduire la facture le 11/09/24</t>
  </si>
  <si>
    <t>DCE à livrer le 02/09/24, facture à préparer et à envoyer le 12/09/24</t>
  </si>
  <si>
    <t>Montant forfaitaire. Transmettre à M. AGLI les courriers des échanges avec M. AGBADO et Audrey</t>
  </si>
  <si>
    <t>M. ADJOU</t>
  </si>
  <si>
    <t>Réunion le 12/09/2024. Facture à élaborer et à envoyer le 10/09/24</t>
  </si>
  <si>
    <t>Préparer le contrat et proposer une avance au démarrage.</t>
  </si>
  <si>
    <t>Concours jardin botanique</t>
  </si>
  <si>
    <t xml:space="preserve">Rencontre Mme BRA le 11/09/24 et visite chantier. </t>
  </si>
  <si>
    <t>Semaine du 16/09/ au /20/2024</t>
  </si>
  <si>
    <t>Rencontre Mme BRA le 11/09/24 et visite chantier. Meettre à jour les modifications et retourner sur le chantier le 17/09/24</t>
  </si>
  <si>
    <t>Réception définitive pour 19/09/2024. Envoyer courrier pour collecte de fond pour collation.</t>
  </si>
  <si>
    <t xml:space="preserve">Réception définitive pour 19/09/2024. </t>
  </si>
  <si>
    <t>Faire DQE et plans Fluides</t>
  </si>
  <si>
    <t>Semaine du 23/09/ au 27/09/2024</t>
  </si>
  <si>
    <t>Etablissement offre financière : validation 04/09/24</t>
  </si>
  <si>
    <t xml:space="preserve"> Visite salle d'audience 03/09/24 Elaboration Dqe</t>
  </si>
  <si>
    <t>Envoi courrier de rappel 03/09</t>
  </si>
  <si>
    <t>Séance de travail</t>
  </si>
  <si>
    <t>Rencontre technique avec Mr Adjou</t>
  </si>
  <si>
    <t xml:space="preserve"> Offre financière à soumettre</t>
  </si>
  <si>
    <t>Dossier d'exécution transmis</t>
  </si>
  <si>
    <t xml:space="preserve">Signer les PV de Réception définitive du 19/09/2024, pour IDS TECHNOLOGIE, ELCO BTP, NETIS. </t>
  </si>
  <si>
    <t>Faire :  Plans Fluides, Schémas, CCTP et DQE</t>
  </si>
  <si>
    <t>Après modifications archtecturales, faire : Plans Fluides, Schémas, CCTP et DQE</t>
  </si>
  <si>
    <t>BOAD - Bureaux DPA</t>
  </si>
  <si>
    <t>BOAD - Salle d'audience du VP</t>
  </si>
  <si>
    <t>BOAD - Villa Vice Président</t>
  </si>
  <si>
    <t>BOAD - centre de loisirs</t>
  </si>
  <si>
    <t>BOAD - Centre de documentation</t>
  </si>
  <si>
    <t xml:space="preserve">BOAD - Parkings </t>
  </si>
  <si>
    <t>Villa Mme ANTHONY</t>
  </si>
  <si>
    <t>KARA</t>
  </si>
  <si>
    <t>Projet de deux villas sis à Aflao de Mr ATAHI</t>
  </si>
  <si>
    <t>Aménagement Villa Vp : 3 500 000</t>
  </si>
  <si>
    <t>Réintroduction facture</t>
  </si>
  <si>
    <t>Retour Mr Atayi 17/09</t>
  </si>
  <si>
    <t>En attente d'éclaircissent de la situation d’Orabank                                                                 Attente réponse courrier du 10/09 à CONAKRY</t>
  </si>
  <si>
    <t>Courrier de relance avec récap corriger 17/09</t>
  </si>
  <si>
    <t>Acomptes mensuels à partir du 12/08</t>
  </si>
  <si>
    <t>Facture envoyée le 16/09 : 337 500</t>
  </si>
  <si>
    <t>Facture étude préliminaire</t>
  </si>
  <si>
    <t>Semaine du 30/09/ au 04/10/2024</t>
  </si>
  <si>
    <t>Faire :  Plans Fluides, Schémas, CCTP et DQE à finaliser</t>
  </si>
  <si>
    <t>Après modifications archtecturales, faire : Plans Fluides, Schémas, CCTP et DQE, à finaliser</t>
  </si>
  <si>
    <t>Semaine du 03/03/ au 08/03/2025</t>
  </si>
  <si>
    <t>Faire point avec NSIA et BETEIR pour signature PV de réception définitive</t>
  </si>
  <si>
    <t xml:space="preserve">Signer les PV de Réception définitive du 19/09/2024, avec levée de réserves pour BETEIR </t>
  </si>
  <si>
    <t>Faire point avec NSIA, BETEIR, ECME et TTGBC pour signature PV de réception définitive</t>
  </si>
  <si>
    <t>Terminer plans fluides, schémas, DQE et CCTP</t>
  </si>
  <si>
    <t>FICHE ACTIVITES CIAU 2025</t>
  </si>
  <si>
    <t>Loic</t>
  </si>
  <si>
    <t>Corrections des nouvelles perspectives</t>
  </si>
  <si>
    <t>Franck</t>
  </si>
  <si>
    <t>Validation des plans dwg</t>
  </si>
  <si>
    <t xml:space="preserve">Résidence Bien - Etre </t>
  </si>
  <si>
    <t>PNHG 02/12-2024</t>
  </si>
  <si>
    <t>Conception Aps</t>
  </si>
  <si>
    <t>Etudes préliminaires validées par Pnhg</t>
  </si>
  <si>
    <t>Antik Building</t>
  </si>
  <si>
    <t>PNHG 02/01-2025</t>
  </si>
  <si>
    <t>Finalisation du document de présentation</t>
  </si>
  <si>
    <t>Relance de Mme Agbonson</t>
  </si>
  <si>
    <t>Contrat et facture de demande d'avance sur honoraires transmise , attente retour</t>
  </si>
  <si>
    <t>Cédric</t>
  </si>
  <si>
    <t>Rendus Aps</t>
  </si>
  <si>
    <t>Nouvelle conception suivant l'hypothèse II</t>
  </si>
  <si>
    <t>Plans fluides</t>
  </si>
  <si>
    <t>Etudes de sécurité incendie en cours</t>
  </si>
  <si>
    <t>Projet de construction d'un immeuble R+3  de Mr Akoete</t>
  </si>
  <si>
    <t>IR9/11-024/LT</t>
  </si>
  <si>
    <t>Rendus perspectives 3d</t>
  </si>
  <si>
    <t>Projet de construction d'un immeuble R+3 de Mr et Mme Barben</t>
  </si>
  <si>
    <t>IR10/11-024/LT</t>
  </si>
  <si>
    <t>Johnson</t>
  </si>
  <si>
    <t>Documents Apd</t>
  </si>
  <si>
    <t>Projet Grunitzky</t>
  </si>
  <si>
    <t>Signer les PV de Réception définitive du 19/09/2024, avec levée de réserves pour BETEIR, TTGCB, ECME, NETIS</t>
  </si>
  <si>
    <t xml:space="preserve">Réception du gros œuvre à programmer </t>
  </si>
  <si>
    <t>Golo</t>
  </si>
  <si>
    <t>Mise à jour non effectuée</t>
  </si>
  <si>
    <t>Mlle Sema ALI</t>
  </si>
  <si>
    <t>Semaine du 31/03/ au 05/04/2025</t>
  </si>
  <si>
    <t xml:space="preserve">Coupes et façades </t>
  </si>
  <si>
    <t>PNHG 03/01-2025</t>
  </si>
  <si>
    <t>Documents transmis</t>
  </si>
  <si>
    <t>plans, Rendus perspectives 3d</t>
  </si>
  <si>
    <t>Nouvelle proposition</t>
  </si>
  <si>
    <t>IR11/11-024/LT</t>
  </si>
  <si>
    <t>Documents transmis01/04/25 attente validation MO</t>
  </si>
  <si>
    <t>Projet de construction d'une usine</t>
  </si>
  <si>
    <t>US01/03-025/LT</t>
  </si>
  <si>
    <t>Validation plan de masse</t>
  </si>
  <si>
    <t>Projet deconstruction d'une villa F5 de Mr Homawoo</t>
  </si>
  <si>
    <t>Villa05/02-025/LT</t>
  </si>
  <si>
    <t>Documents transmis 01/04/25 attente validation MO</t>
  </si>
  <si>
    <t>Résidences balnéaires Agbodrafo</t>
  </si>
  <si>
    <t>Villa06/02-025/LT</t>
  </si>
  <si>
    <t>Point réalisé avec NSIA M. GATI, M. TEREAOU (Chef d'anence Totsi) et BETEIR pour signature PV de réception définitive</t>
  </si>
  <si>
    <t xml:space="preserve">Signer le PV de Réception définitive Nsia Totsi du 19/09/2024, avec levée de réserves pour BETEIR </t>
  </si>
  <si>
    <r>
      <t xml:space="preserve">Faire point avec NSIA / BETEIR, ECME et TTGBC pour signature PV de réception définitive.                        </t>
    </r>
    <r>
      <rPr>
        <sz val="11"/>
        <color rgb="FFFF0000"/>
        <rFont val="Calibri"/>
        <family val="2"/>
        <scheme val="minor"/>
      </rPr>
      <t>Attente réaction par écrit de BETEIR suite envoie de courrier de mise en demeure</t>
    </r>
  </si>
  <si>
    <t>Signer les PV de Réception définitive Nsia Dapaong du 13/12/2024, avec levée de réserves pour BETEIR, TTGCB, ECME, NETIS</t>
  </si>
  <si>
    <t>Travailler sur DQE suite réception DQE de l' Architecte ivoirien</t>
  </si>
  <si>
    <t>Vente terrain titre foncier 11184</t>
  </si>
  <si>
    <t>Analyse en cours cours</t>
  </si>
  <si>
    <t xml:space="preserve">Réaliser rapport d'expertise </t>
  </si>
  <si>
    <t>Projet Villa OUA 113</t>
  </si>
  <si>
    <t>Envoyer DQE et Rapport d'état des lieux - VILLA OUA 113 à N.A.</t>
  </si>
  <si>
    <t>Faire plan de situation</t>
  </si>
  <si>
    <t>Projet ATAKE Immaculé Expertise</t>
  </si>
  <si>
    <t>Projet Villa Mme Elise SEDDOH Expertise</t>
  </si>
  <si>
    <t xml:space="preserve">DESCRIPTIF DU PROJET : </t>
  </si>
  <si>
    <t>Mois : FEVRIER 2026</t>
  </si>
  <si>
    <t>Semaine du 09/02 au 14/02/2026</t>
  </si>
  <si>
    <t>M. Cédric GBAGBA</t>
  </si>
  <si>
    <t>Mlle Pierrette TCHINDI</t>
  </si>
  <si>
    <t>Semaine du 02/02 au 07/02/2026</t>
  </si>
  <si>
    <t>Villa02/…../LT</t>
  </si>
  <si>
    <t>Villa</t>
  </si>
  <si>
    <t>Semaine du 16/02 au 21/02/2026</t>
  </si>
  <si>
    <t>Projet de construction d'un immeuble R+7 à Nyekonakpoe</t>
  </si>
  <si>
    <t>Projet de construction du centre commercial K2T</t>
  </si>
  <si>
    <t>Projet de construction d'une villa duplex F4 à Amlamé</t>
  </si>
  <si>
    <t>Projet de construction de villas jumellées à Hedzranawe</t>
  </si>
  <si>
    <t>Projet de réabilitation de villas jumellées à Nyekonakpoe</t>
  </si>
  <si>
    <t>Projet de construction d'une église presbytérienne</t>
  </si>
  <si>
    <t>Projet de construction d'une crèche garderie</t>
  </si>
  <si>
    <t>Projet de construction de la résidence Les merveilles</t>
  </si>
  <si>
    <t>Projet de construction d'un immeuble résidentiel à Hedzranawe</t>
  </si>
  <si>
    <t>Projet de construction de la gare Amou Oblo</t>
  </si>
  <si>
    <t>Projet de construction d'une éco résidence à Agbodrafo</t>
  </si>
  <si>
    <t>Projet de constrcution d'une résidence secondaire à Alogavi</t>
  </si>
  <si>
    <t>Projet de construction usine Sofina</t>
  </si>
  <si>
    <t>Projet de construction d'un R+14 - Antik Building</t>
  </si>
  <si>
    <t>Projet SIMANDOU 2040</t>
  </si>
  <si>
    <t>Projet de construction de vestiaires pour stade</t>
  </si>
  <si>
    <t>Projet de construction d'un immeuble résidentiel R+5</t>
  </si>
  <si>
    <t>Site web - Vitrine du cabinet</t>
  </si>
  <si>
    <t>Victor EHE</t>
  </si>
  <si>
    <t>KLASS TOSSOU Tinos</t>
  </si>
  <si>
    <t>Perso</t>
  </si>
  <si>
    <t>D'ALMEIDA</t>
  </si>
  <si>
    <t>DOSSA</t>
  </si>
  <si>
    <t>AGBOMSON</t>
  </si>
  <si>
    <t>Mme Bella</t>
  </si>
  <si>
    <t>Mairie Amou Oblo</t>
  </si>
  <si>
    <t>M SODATONOU</t>
  </si>
  <si>
    <t>Ministre</t>
  </si>
  <si>
    <t>SOFINA</t>
  </si>
  <si>
    <t>PNHG</t>
  </si>
  <si>
    <t xml:space="preserve">ORABANK </t>
  </si>
  <si>
    <t xml:space="preserve">MAY </t>
  </si>
  <si>
    <t>TAY Benoit Biova</t>
  </si>
  <si>
    <t>Projet de contrat</t>
  </si>
  <si>
    <t>Signé et en suivi</t>
  </si>
  <si>
    <t>Contrat à vérifier</t>
  </si>
  <si>
    <t>CONTRAT MOE</t>
  </si>
  <si>
    <t>Dormant</t>
  </si>
  <si>
    <t>PHASE ACTUELLE</t>
  </si>
  <si>
    <t>CIAU</t>
  </si>
  <si>
    <t>Programmation</t>
  </si>
  <si>
    <t>Grunitzky</t>
  </si>
  <si>
    <t xml:space="preserve">LISTE DES PROJETS CIAU </t>
  </si>
  <si>
    <t>M. KOEVI (Immeuble R+3)</t>
  </si>
  <si>
    <t>M. ATAHI</t>
  </si>
  <si>
    <t>M. BAROUD</t>
  </si>
  <si>
    <t>Mr Homawoo</t>
  </si>
  <si>
    <t>Mr Akoete</t>
  </si>
  <si>
    <t>Projet deconstruction d'une villa F5</t>
  </si>
  <si>
    <t xml:space="preserve">Projet de construction d'un immeuble R+3  </t>
  </si>
  <si>
    <t xml:space="preserve">Projet d'aménagement d'une terrasse piscine </t>
  </si>
  <si>
    <t>Mme BARBEN</t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</si>
  <si>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construction d'un R+14 - Antik Building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</si>
  <si>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Grunitzky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</si>
  <si>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construction de vestiaires pour stade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</si>
  <si>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SIMANDOU 2040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</si>
  <si>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construction d'une église presbytérienne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</si>
  <si>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construction de villas jumellées à Hedzranawe</t>
    </r>
  </si>
  <si>
    <t>DESCRIPTIF DU PROJET : Projet de construction de la résidence Les merveilles</t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</si>
  <si>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 xml:space="preserve">Projet de construction d'une résidence 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</si>
  <si>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construction usine Sofina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</si>
  <si>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construction d'une éco résidence à Agbodrafo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</si>
  <si>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constrcution d'une résidence secondaire à Alogavi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</si>
  <si>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construction de la gare Amou Oblo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</si>
  <si>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construction d'un immeuble résidentiel à Hedzranawe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</si>
  <si>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construction d'une villa duplex F4 à Amlamé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</si>
  <si>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construction du centre commercial K2T</t>
    </r>
  </si>
  <si>
    <r>
      <t xml:space="preserve">DESCRIPTIF DU PROJET : </t>
    </r>
    <r>
      <rPr>
        <b/>
        <sz val="12"/>
        <color theme="1"/>
        <rFont val="Calibri"/>
        <family val="2"/>
        <scheme val="minor"/>
      </rPr>
      <t>Projet de construction d'un immeuble R+7 à Nyekonakpoe</t>
    </r>
  </si>
  <si>
    <t>PRI/..-.../PR</t>
  </si>
  <si>
    <t>RES/..-.../PR</t>
  </si>
  <si>
    <t>IND/..-.../IN</t>
  </si>
  <si>
    <t>RES/..-.../IN</t>
  </si>
  <si>
    <t>PRI/..-…/PR</t>
  </si>
  <si>
    <t>HONORAIRE</t>
  </si>
  <si>
    <t>SOLDE</t>
  </si>
  <si>
    <t>Voici une liste de projets CIAU datant d'avant 2020, dont je souhaiterais connaître les états afin de les introduire sur notre nouvelle liste de projets en cours ou dormant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</si>
</sst>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&quot;€&quot;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3" fillId="0" borderId="0" applyFont="0" applyFill="0" applyBorder="0" applyAlignment="0" applyProtection="0"/>
  </cellStyleXfs>
  <cellXfs count="671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4" fillId="0" borderId="0" xfId="0" applyFont="1"/>
    <xf numFmtId="0" fontId="3" fillId="0" borderId="0" xfId="0" applyFont="1"/>
    <xf numFmtId="0" fontId="0" fillId="0" borderId="22" xfId="0" applyBorder="1"/>
    <xf numFmtId="0" fontId="0" fillId="0" borderId="25" xfId="0" applyBorder="1"/>
    <xf numFmtId="0" fontId="2" fillId="0" borderId="0" xfId="0" applyFont="1"/>
    <xf numFmtId="0" fontId="0" fillId="0" borderId="33" xfId="0" applyBorder="1"/>
    <xf numFmtId="0" fontId="1" fillId="0" borderId="0" xfId="0" applyFont="1"/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7" xfId="0" applyBorder="1"/>
    <xf numFmtId="0" fontId="0" fillId="0" borderId="40" xfId="0" applyBorder="1"/>
    <xf numFmtId="0" fontId="12" fillId="0" borderId="1" xfId="0" applyFont="1" applyBorder="1"/>
    <xf numFmtId="0" fontId="12" fillId="0" borderId="30" xfId="0" applyFont="1" applyBorder="1"/>
    <xf numFmtId="0" fontId="12" fillId="0" borderId="0" xfId="0" applyFont="1"/>
    <xf numFmtId="0" fontId="0" fillId="0" borderId="0" xfId="0" applyAlignment="1">
      <alignment horizontal="center"/>
    </xf>
    <xf numFmtId="0" fontId="12" fillId="0" borderId="23" xfId="0" applyFont="1" applyBorder="1"/>
    <xf numFmtId="0" fontId="12" fillId="0" borderId="24" xfId="0" applyFont="1" applyBorder="1"/>
    <xf numFmtId="0" fontId="12" fillId="0" borderId="21" xfId="0" applyFont="1" applyBorder="1"/>
    <xf numFmtId="0" fontId="13" fillId="6" borderId="0" xfId="0" applyFont="1" applyFill="1"/>
    <xf numFmtId="0" fontId="13" fillId="6" borderId="30" xfId="0" applyFont="1" applyFill="1" applyBorder="1"/>
    <xf numFmtId="0" fontId="12" fillId="0" borderId="7" xfId="0" applyFont="1" applyBorder="1"/>
    <xf numFmtId="0" fontId="12" fillId="0" borderId="19" xfId="0" applyFont="1" applyBorder="1"/>
    <xf numFmtId="3" fontId="12" fillId="0" borderId="30" xfId="0" applyNumberFormat="1" applyFont="1" applyBorder="1"/>
    <xf numFmtId="0" fontId="12" fillId="0" borderId="25" xfId="0" applyFont="1" applyBorder="1"/>
    <xf numFmtId="0" fontId="12" fillId="0" borderId="22" xfId="0" applyFont="1" applyBorder="1"/>
    <xf numFmtId="0" fontId="12" fillId="0" borderId="29" xfId="0" applyFont="1" applyBorder="1"/>
    <xf numFmtId="0" fontId="12" fillId="0" borderId="26" xfId="0" applyFont="1" applyBorder="1"/>
    <xf numFmtId="0" fontId="12" fillId="0" borderId="36" xfId="0" applyFont="1" applyBorder="1"/>
    <xf numFmtId="0" fontId="12" fillId="0" borderId="39" xfId="0" applyFont="1" applyBorder="1"/>
    <xf numFmtId="0" fontId="12" fillId="0" borderId="5" xfId="0" applyFont="1" applyBorder="1"/>
    <xf numFmtId="8" fontId="0" fillId="0" borderId="0" xfId="0" applyNumberFormat="1"/>
    <xf numFmtId="14" fontId="0" fillId="0" borderId="16" xfId="0" applyNumberFormat="1" applyBorder="1"/>
    <xf numFmtId="0" fontId="0" fillId="0" borderId="7" xfId="0" applyBorder="1" applyAlignment="1">
      <alignment wrapText="1"/>
    </xf>
    <xf numFmtId="16" fontId="0" fillId="0" borderId="0" xfId="0" applyNumberFormat="1"/>
    <xf numFmtId="14" fontId="0" fillId="0" borderId="0" xfId="0" applyNumberFormat="1"/>
    <xf numFmtId="0" fontId="0" fillId="7" borderId="7" xfId="0" applyFill="1" applyBorder="1"/>
    <xf numFmtId="0" fontId="0" fillId="7" borderId="0" xfId="0" applyFill="1"/>
    <xf numFmtId="0" fontId="0" fillId="7" borderId="16" xfId="0" applyFill="1" applyBorder="1"/>
    <xf numFmtId="0" fontId="0" fillId="7" borderId="8" xfId="0" applyFill="1" applyBorder="1"/>
    <xf numFmtId="0" fontId="0" fillId="7" borderId="16" xfId="0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5" borderId="14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41" xfId="0" applyBorder="1"/>
    <xf numFmtId="0" fontId="5" fillId="8" borderId="4" xfId="0" applyFont="1" applyFill="1" applyBorder="1"/>
    <xf numFmtId="0" fontId="0" fillId="8" borderId="15" xfId="0" applyFill="1" applyBorder="1" applyAlignment="1">
      <alignment horizontal="center" vertical="center"/>
    </xf>
    <xf numFmtId="0" fontId="0" fillId="8" borderId="5" xfId="0" applyFill="1" applyBorder="1"/>
    <xf numFmtId="0" fontId="0" fillId="8" borderId="15" xfId="0" applyFill="1" applyBorder="1"/>
    <xf numFmtId="0" fontId="0" fillId="8" borderId="6" xfId="0" applyFill="1" applyBorder="1"/>
    <xf numFmtId="0" fontId="5" fillId="8" borderId="7" xfId="0" applyFont="1" applyFill="1" applyBorder="1"/>
    <xf numFmtId="0" fontId="0" fillId="8" borderId="0" xfId="0" applyFill="1"/>
    <xf numFmtId="0" fontId="0" fillId="8" borderId="16" xfId="0" applyFill="1" applyBorder="1"/>
    <xf numFmtId="0" fontId="0" fillId="8" borderId="8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42" xfId="0" applyBorder="1"/>
    <xf numFmtId="0" fontId="0" fillId="0" borderId="31" xfId="0" applyBorder="1"/>
    <xf numFmtId="0" fontId="7" fillId="0" borderId="0" xfId="0" applyFont="1" applyAlignment="1">
      <alignment horizontal="center" vertical="center"/>
    </xf>
    <xf numFmtId="0" fontId="12" fillId="0" borderId="31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41" xfId="0" applyFont="1" applyBorder="1" applyAlignment="1">
      <alignment vertical="center"/>
    </xf>
    <xf numFmtId="0" fontId="0" fillId="0" borderId="41" xfId="0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5" borderId="44" xfId="0" applyFont="1" applyFill="1" applyBorder="1" applyAlignment="1">
      <alignment horizontal="center" vertical="center"/>
    </xf>
    <xf numFmtId="0" fontId="9" fillId="5" borderId="4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12" fillId="4" borderId="1" xfId="0" applyFont="1" applyFill="1" applyBorder="1" applyAlignment="1">
      <alignment horizontal="right" vertical="center"/>
    </xf>
    <xf numFmtId="0" fontId="12" fillId="4" borderId="34" xfId="0" applyFont="1" applyFill="1" applyBorder="1" applyAlignment="1">
      <alignment vertical="center"/>
    </xf>
    <xf numFmtId="3" fontId="12" fillId="4" borderId="41" xfId="0" applyNumberFormat="1" applyFont="1" applyFill="1" applyBorder="1" applyAlignment="1">
      <alignment vertical="center"/>
    </xf>
    <xf numFmtId="0" fontId="0" fillId="4" borderId="48" xfId="0" applyFill="1" applyBorder="1" applyAlignment="1">
      <alignment horizontal="center" vertical="center"/>
    </xf>
    <xf numFmtId="3" fontId="12" fillId="4" borderId="31" xfId="0" applyNumberFormat="1" applyFont="1" applyFill="1" applyBorder="1" applyAlignment="1">
      <alignment vertical="center"/>
    </xf>
    <xf numFmtId="0" fontId="0" fillId="4" borderId="49" xfId="0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2" fillId="4" borderId="36" xfId="0" applyFont="1" applyFill="1" applyBorder="1" applyAlignment="1">
      <alignment horizontal="right" vertical="center"/>
    </xf>
    <xf numFmtId="17" fontId="12" fillId="4" borderId="49" xfId="0" applyNumberFormat="1" applyFont="1" applyFill="1" applyBorder="1" applyAlignment="1">
      <alignment horizontal="right" vertical="center"/>
    </xf>
    <xf numFmtId="0" fontId="12" fillId="4" borderId="46" xfId="0" applyFont="1" applyFill="1" applyBorder="1" applyAlignment="1">
      <alignment horizontal="right" vertical="center"/>
    </xf>
    <xf numFmtId="17" fontId="12" fillId="4" borderId="36" xfId="0" applyNumberFormat="1" applyFont="1" applyFill="1" applyBorder="1" applyAlignment="1">
      <alignment horizontal="right" vertical="center"/>
    </xf>
    <xf numFmtId="0" fontId="12" fillId="4" borderId="48" xfId="0" applyFont="1" applyFill="1" applyBorder="1" applyAlignment="1">
      <alignment horizontal="right" vertical="center"/>
    </xf>
    <xf numFmtId="17" fontId="12" fillId="4" borderId="48" xfId="0" applyNumberFormat="1" applyFont="1" applyFill="1" applyBorder="1" applyAlignment="1">
      <alignment horizontal="right" vertical="center"/>
    </xf>
    <xf numFmtId="0" fontId="12" fillId="4" borderId="43" xfId="0" applyFont="1" applyFill="1" applyBorder="1" applyAlignment="1">
      <alignment horizontal="center" vertical="center"/>
    </xf>
    <xf numFmtId="0" fontId="12" fillId="4" borderId="49" xfId="0" applyFont="1" applyFill="1" applyBorder="1" applyAlignment="1">
      <alignment horizontal="right" vertical="center"/>
    </xf>
    <xf numFmtId="0" fontId="0" fillId="0" borderId="30" xfId="0" applyBorder="1"/>
    <xf numFmtId="0" fontId="12" fillId="4" borderId="31" xfId="0" applyFont="1" applyFill="1" applyBorder="1" applyAlignment="1">
      <alignment vertical="center"/>
    </xf>
    <xf numFmtId="0" fontId="12" fillId="4" borderId="28" xfId="0" applyFont="1" applyFill="1" applyBorder="1" applyAlignment="1">
      <alignment vertical="center"/>
    </xf>
    <xf numFmtId="0" fontId="13" fillId="11" borderId="27" xfId="0" applyFont="1" applyFill="1" applyBorder="1" applyAlignment="1">
      <alignment vertical="center"/>
    </xf>
    <xf numFmtId="0" fontId="13" fillId="11" borderId="23" xfId="0" applyFont="1" applyFill="1" applyBorder="1" applyAlignment="1">
      <alignment vertical="center"/>
    </xf>
    <xf numFmtId="0" fontId="13" fillId="11" borderId="51" xfId="0" applyFont="1" applyFill="1" applyBorder="1" applyAlignment="1">
      <alignment vertical="center"/>
    </xf>
    <xf numFmtId="0" fontId="13" fillId="10" borderId="23" xfId="0" applyFont="1" applyFill="1" applyBorder="1" applyAlignment="1">
      <alignment vertical="center"/>
    </xf>
    <xf numFmtId="0" fontId="13" fillId="10" borderId="32" xfId="0" applyFont="1" applyFill="1" applyBorder="1" applyAlignment="1">
      <alignment vertical="center"/>
    </xf>
    <xf numFmtId="0" fontId="13" fillId="10" borderId="23" xfId="0" applyFont="1" applyFill="1" applyBorder="1" applyAlignment="1">
      <alignment vertical="center" wrapText="1"/>
    </xf>
    <xf numFmtId="0" fontId="13" fillId="9" borderId="32" xfId="0" applyFont="1" applyFill="1" applyBorder="1" applyAlignment="1">
      <alignment vertical="center"/>
    </xf>
    <xf numFmtId="0" fontId="13" fillId="9" borderId="23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7" fontId="12" fillId="4" borderId="1" xfId="0" applyNumberFormat="1" applyFont="1" applyFill="1" applyBorder="1" applyAlignment="1">
      <alignment horizontal="right" vertical="center"/>
    </xf>
    <xf numFmtId="0" fontId="13" fillId="9" borderId="51" xfId="0" applyFont="1" applyFill="1" applyBorder="1" applyAlignment="1">
      <alignment vertical="center"/>
    </xf>
    <xf numFmtId="0" fontId="12" fillId="4" borderId="28" xfId="0" applyFont="1" applyFill="1" applyBorder="1" applyAlignment="1">
      <alignment horizontal="right" vertical="center"/>
    </xf>
    <xf numFmtId="0" fontId="13" fillId="11" borderId="32" xfId="0" applyFont="1" applyFill="1" applyBorder="1" applyAlignment="1">
      <alignment vertical="center"/>
    </xf>
    <xf numFmtId="0" fontId="12" fillId="0" borderId="50" xfId="0" applyFont="1" applyBorder="1" applyAlignment="1">
      <alignment vertical="center"/>
    </xf>
    <xf numFmtId="17" fontId="10" fillId="0" borderId="0" xfId="0" applyNumberFormat="1" applyFont="1" applyAlignment="1">
      <alignment vertical="center"/>
    </xf>
    <xf numFmtId="0" fontId="13" fillId="10" borderId="54" xfId="0" applyFont="1" applyFill="1" applyBorder="1" applyAlignment="1">
      <alignment vertical="center"/>
    </xf>
    <xf numFmtId="3" fontId="12" fillId="4" borderId="16" xfId="0" applyNumberFormat="1" applyFont="1" applyFill="1" applyBorder="1" applyAlignment="1">
      <alignment vertical="center"/>
    </xf>
    <xf numFmtId="0" fontId="0" fillId="4" borderId="55" xfId="0" applyFill="1" applyBorder="1" applyAlignment="1">
      <alignment horizontal="center" vertical="center"/>
    </xf>
    <xf numFmtId="17" fontId="12" fillId="4" borderId="55" xfId="0" applyNumberFormat="1" applyFont="1" applyFill="1" applyBorder="1" applyAlignment="1">
      <alignment horizontal="right" vertical="center"/>
    </xf>
    <xf numFmtId="0" fontId="13" fillId="10" borderId="51" xfId="0" applyFont="1" applyFill="1" applyBorder="1" applyAlignment="1">
      <alignment vertical="center"/>
    </xf>
    <xf numFmtId="17" fontId="12" fillId="4" borderId="4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8" fontId="0" fillId="0" borderId="1" xfId="0" applyNumberFormat="1" applyBorder="1"/>
    <xf numFmtId="0" fontId="0" fillId="0" borderId="16" xfId="0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13" fillId="0" borderId="1" xfId="0" applyFont="1" applyBorder="1"/>
    <xf numFmtId="0" fontId="0" fillId="0" borderId="1" xfId="0" applyBorder="1" applyAlignment="1">
      <alignment wrapText="1"/>
    </xf>
    <xf numFmtId="0" fontId="0" fillId="0" borderId="16" xfId="0" applyBorder="1" applyAlignment="1">
      <alignment wrapText="1"/>
    </xf>
    <xf numFmtId="0" fontId="14" fillId="0" borderId="1" xfId="0" applyFont="1" applyBorder="1"/>
    <xf numFmtId="0" fontId="0" fillId="0" borderId="44" xfId="0" applyBorder="1"/>
    <xf numFmtId="0" fontId="18" fillId="0" borderId="1" xfId="0" applyFont="1" applyBorder="1" applyAlignment="1">
      <alignment wrapText="1"/>
    </xf>
    <xf numFmtId="0" fontId="0" fillId="0" borderId="47" xfId="0" applyBorder="1"/>
    <xf numFmtId="17" fontId="12" fillId="4" borderId="46" xfId="0" applyNumberFormat="1" applyFont="1" applyFill="1" applyBorder="1" applyAlignment="1">
      <alignment horizontal="right" vertical="center"/>
    </xf>
    <xf numFmtId="0" fontId="12" fillId="0" borderId="41" xfId="0" applyFont="1" applyBorder="1"/>
    <xf numFmtId="0" fontId="0" fillId="10" borderId="49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17" fontId="11" fillId="0" borderId="0" xfId="0" applyNumberFormat="1" applyFont="1" applyAlignment="1">
      <alignment horizontal="center" vertical="center"/>
    </xf>
    <xf numFmtId="0" fontId="12" fillId="4" borderId="23" xfId="0" applyFont="1" applyFill="1" applyBorder="1"/>
    <xf numFmtId="0" fontId="12" fillId="0" borderId="58" xfId="0" applyFont="1" applyBorder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8" fontId="0" fillId="4" borderId="0" xfId="0" applyNumberFormat="1" applyFill="1"/>
    <xf numFmtId="0" fontId="0" fillId="0" borderId="0" xfId="0" applyAlignment="1">
      <alignment horizontal="left" vertical="top" wrapText="1"/>
    </xf>
    <xf numFmtId="0" fontId="13" fillId="0" borderId="28" xfId="0" applyFont="1" applyBorder="1"/>
    <xf numFmtId="0" fontId="6" fillId="2" borderId="60" xfId="0" applyFont="1" applyFill="1" applyBorder="1" applyAlignment="1">
      <alignment horizontal="center" vertical="center"/>
    </xf>
    <xf numFmtId="0" fontId="5" fillId="8" borderId="5" xfId="0" applyFont="1" applyFill="1" applyBorder="1"/>
    <xf numFmtId="0" fontId="0" fillId="0" borderId="0" xfId="0" applyAlignment="1">
      <alignment wrapText="1"/>
    </xf>
    <xf numFmtId="0" fontId="5" fillId="8" borderId="0" xfId="0" applyFont="1" applyFill="1"/>
    <xf numFmtId="0" fontId="13" fillId="0" borderId="27" xfId="0" applyFont="1" applyBorder="1"/>
    <xf numFmtId="0" fontId="12" fillId="0" borderId="51" xfId="0" applyFont="1" applyBorder="1"/>
    <xf numFmtId="0" fontId="13" fillId="0" borderId="5" xfId="0" applyFont="1" applyBorder="1"/>
    <xf numFmtId="0" fontId="13" fillId="0" borderId="57" xfId="0" applyFont="1" applyBorder="1"/>
    <xf numFmtId="0" fontId="0" fillId="0" borderId="61" xfId="0" applyBorder="1"/>
    <xf numFmtId="0" fontId="12" fillId="0" borderId="62" xfId="0" applyFont="1" applyBorder="1"/>
    <xf numFmtId="0" fontId="12" fillId="0" borderId="61" xfId="0" applyFont="1" applyBorder="1"/>
    <xf numFmtId="0" fontId="12" fillId="0" borderId="59" xfId="0" applyFont="1" applyBorder="1"/>
    <xf numFmtId="0" fontId="12" fillId="4" borderId="26" xfId="0" applyFont="1" applyFill="1" applyBorder="1"/>
    <xf numFmtId="0" fontId="0" fillId="0" borderId="59" xfId="0" applyBorder="1"/>
    <xf numFmtId="0" fontId="0" fillId="0" borderId="29" xfId="0" applyBorder="1"/>
    <xf numFmtId="0" fontId="0" fillId="0" borderId="19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5" xfId="0" applyBorder="1"/>
    <xf numFmtId="0" fontId="22" fillId="0" borderId="0" xfId="0" applyFont="1" applyAlignment="1">
      <alignment vertical="center"/>
    </xf>
    <xf numFmtId="14" fontId="0" fillId="0" borderId="19" xfId="0" applyNumberFormat="1" applyBorder="1" applyAlignment="1">
      <alignment horizontal="right" wrapText="1"/>
    </xf>
    <xf numFmtId="0" fontId="22" fillId="0" borderId="7" xfId="0" applyFont="1" applyBorder="1" applyAlignment="1">
      <alignment horizontal="left" wrapText="1"/>
    </xf>
    <xf numFmtId="0" fontId="0" fillId="0" borderId="55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vertical="center"/>
    </xf>
    <xf numFmtId="16" fontId="0" fillId="0" borderId="8" xfId="0" applyNumberFormat="1" applyBorder="1"/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16" fontId="0" fillId="0" borderId="10" xfId="0" applyNumberFormat="1" applyBorder="1"/>
    <xf numFmtId="14" fontId="0" fillId="0" borderId="31" xfId="0" applyNumberFormat="1" applyBorder="1"/>
    <xf numFmtId="0" fontId="0" fillId="0" borderId="38" xfId="0" applyBorder="1"/>
    <xf numFmtId="0" fontId="0" fillId="0" borderId="3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59" xfId="0" applyNumberFormat="1" applyBorder="1"/>
    <xf numFmtId="0" fontId="0" fillId="0" borderId="59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12" fillId="4" borderId="46" xfId="0" applyFont="1" applyFill="1" applyBorder="1" applyAlignment="1">
      <alignment horizontal="left" vertical="center"/>
    </xf>
    <xf numFmtId="164" fontId="0" fillId="0" borderId="0" xfId="1" applyFont="1"/>
    <xf numFmtId="164" fontId="12" fillId="0" borderId="30" xfId="1" applyFont="1" applyBorder="1"/>
    <xf numFmtId="0" fontId="21" fillId="0" borderId="1" xfId="0" applyFont="1" applyBorder="1"/>
    <xf numFmtId="164" fontId="12" fillId="0" borderId="40" xfId="1" applyFont="1" applyBorder="1"/>
    <xf numFmtId="0" fontId="12" fillId="12" borderId="1" xfId="0" applyFont="1" applyFill="1" applyBorder="1"/>
    <xf numFmtId="164" fontId="12" fillId="12" borderId="30" xfId="1" applyFont="1" applyFill="1" applyBorder="1"/>
    <xf numFmtId="0" fontId="21" fillId="12" borderId="1" xfId="0" applyFont="1" applyFill="1" applyBorder="1"/>
    <xf numFmtId="0" fontId="0" fillId="0" borderId="35" xfId="0" applyBorder="1"/>
    <xf numFmtId="164" fontId="0" fillId="4" borderId="49" xfId="0" applyNumberFormat="1" applyFill="1" applyBorder="1" applyAlignment="1">
      <alignment horizontal="center" vertical="center"/>
    </xf>
    <xf numFmtId="14" fontId="0" fillId="0" borderId="55" xfId="0" applyNumberFormat="1" applyBorder="1"/>
    <xf numFmtId="0" fontId="24" fillId="0" borderId="52" xfId="0" applyFont="1" applyBorder="1" applyAlignment="1">
      <alignment vertical="center"/>
    </xf>
    <xf numFmtId="0" fontId="0" fillId="0" borderId="18" xfId="0" applyBorder="1" applyAlignment="1">
      <alignment wrapText="1"/>
    </xf>
    <xf numFmtId="0" fontId="24" fillId="0" borderId="18" xfId="0" applyFont="1" applyBorder="1" applyAlignment="1">
      <alignment horizontal="center" vertical="center"/>
    </xf>
    <xf numFmtId="0" fontId="24" fillId="0" borderId="18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24" fillId="0" borderId="52" xfId="0" applyFont="1" applyBorder="1" applyAlignment="1">
      <alignment vertical="center" wrapText="1"/>
    </xf>
    <xf numFmtId="0" fontId="0" fillId="0" borderId="18" xfId="0" applyBorder="1"/>
    <xf numFmtId="0" fontId="24" fillId="0" borderId="18" xfId="0" applyFont="1" applyBorder="1" applyAlignment="1">
      <alignment vertical="center" wrapText="1"/>
    </xf>
    <xf numFmtId="0" fontId="26" fillId="0" borderId="7" xfId="0" applyFont="1" applyBorder="1" applyAlignment="1">
      <alignment vertical="center"/>
    </xf>
    <xf numFmtId="0" fontId="27" fillId="8" borderId="4" xfId="0" applyFont="1" applyFill="1" applyBorder="1"/>
    <xf numFmtId="0" fontId="0" fillId="0" borderId="37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26" fillId="0" borderId="25" xfId="0" applyFont="1" applyBorder="1"/>
    <xf numFmtId="0" fontId="5" fillId="0" borderId="38" xfId="0" applyFont="1" applyBorder="1"/>
    <xf numFmtId="0" fontId="22" fillId="0" borderId="7" xfId="0" applyFont="1" applyBorder="1" applyAlignment="1">
      <alignment vertical="center"/>
    </xf>
    <xf numFmtId="0" fontId="0" fillId="0" borderId="37" xfId="0" applyBorder="1" applyAlignment="1">
      <alignment wrapText="1"/>
    </xf>
    <xf numFmtId="0" fontId="18" fillId="0" borderId="7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16" xfId="0" applyFont="1" applyBorder="1" applyAlignment="1">
      <alignment horizontal="center" vertical="center"/>
    </xf>
    <xf numFmtId="16" fontId="18" fillId="0" borderId="0" xfId="0" applyNumberFormat="1" applyFont="1"/>
    <xf numFmtId="0" fontId="18" fillId="0" borderId="0" xfId="0" applyFont="1"/>
    <xf numFmtId="0" fontId="18" fillId="0" borderId="16" xfId="0" applyFont="1" applyBorder="1"/>
    <xf numFmtId="0" fontId="18" fillId="0" borderId="8" xfId="0" applyFont="1" applyBorder="1"/>
    <xf numFmtId="0" fontId="29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0" xfId="0" applyFont="1" applyAlignment="1">
      <alignment horizontal="left" wrapText="1"/>
    </xf>
    <xf numFmtId="14" fontId="18" fillId="0" borderId="0" xfId="0" applyNumberFormat="1" applyFont="1"/>
    <xf numFmtId="0" fontId="18" fillId="0" borderId="7" xfId="0" applyFont="1" applyBorder="1"/>
    <xf numFmtId="14" fontId="18" fillId="0" borderId="19" xfId="0" applyNumberFormat="1" applyFont="1" applyBorder="1" applyAlignment="1">
      <alignment horizontal="right" wrapText="1"/>
    </xf>
    <xf numFmtId="0" fontId="18" fillId="0" borderId="19" xfId="0" applyFont="1" applyBorder="1"/>
    <xf numFmtId="0" fontId="18" fillId="0" borderId="19" xfId="0" applyFont="1" applyBorder="1" applyAlignment="1">
      <alignment horizontal="left" wrapText="1"/>
    </xf>
    <xf numFmtId="0" fontId="18" fillId="0" borderId="7" xfId="0" applyFont="1" applyBorder="1" applyAlignment="1">
      <alignment horizontal="left" wrapText="1"/>
    </xf>
    <xf numFmtId="0" fontId="29" fillId="0" borderId="7" xfId="0" applyFont="1" applyBorder="1" applyAlignment="1">
      <alignment horizontal="left" wrapText="1"/>
    </xf>
    <xf numFmtId="0" fontId="18" fillId="0" borderId="55" xfId="0" applyFont="1" applyBorder="1"/>
    <xf numFmtId="0" fontId="18" fillId="0" borderId="37" xfId="0" applyFont="1" applyBorder="1" applyAlignment="1">
      <alignment wrapText="1"/>
    </xf>
    <xf numFmtId="14" fontId="18" fillId="0" borderId="55" xfId="0" applyNumberFormat="1" applyFont="1" applyBorder="1"/>
    <xf numFmtId="0" fontId="18" fillId="0" borderId="37" xfId="0" applyFont="1" applyBorder="1"/>
    <xf numFmtId="14" fontId="18" fillId="0" borderId="16" xfId="0" applyNumberFormat="1" applyFont="1" applyBorder="1"/>
    <xf numFmtId="0" fontId="19" fillId="8" borderId="7" xfId="0" applyFont="1" applyFill="1" applyBorder="1"/>
    <xf numFmtId="0" fontId="19" fillId="8" borderId="0" xfId="0" applyFont="1" applyFill="1"/>
    <xf numFmtId="0" fontId="18" fillId="8" borderId="0" xfId="0" applyFont="1" applyFill="1"/>
    <xf numFmtId="0" fontId="18" fillId="8" borderId="16" xfId="0" applyFont="1" applyFill="1" applyBorder="1"/>
    <xf numFmtId="0" fontId="18" fillId="8" borderId="8" xfId="0" applyFont="1" applyFill="1" applyBorder="1"/>
    <xf numFmtId="0" fontId="18" fillId="0" borderId="9" xfId="0" applyFont="1" applyBorder="1"/>
    <xf numFmtId="0" fontId="18" fillId="0" borderId="10" xfId="0" applyFont="1" applyBorder="1"/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/>
    <xf numFmtId="0" fontId="18" fillId="0" borderId="11" xfId="0" applyFont="1" applyBorder="1"/>
    <xf numFmtId="0" fontId="6" fillId="2" borderId="1" xfId="0" applyFont="1" applyFill="1" applyBorder="1" applyAlignment="1">
      <alignment horizontal="center" vertical="center"/>
    </xf>
    <xf numFmtId="0" fontId="18" fillId="0" borderId="64" xfId="0" applyFont="1" applyBorder="1" applyAlignment="1">
      <alignment vertical="center"/>
    </xf>
    <xf numFmtId="0" fontId="18" fillId="0" borderId="6" xfId="0" applyFont="1" applyBorder="1" applyAlignment="1">
      <alignment wrapText="1"/>
    </xf>
    <xf numFmtId="0" fontId="18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8" fillId="0" borderId="1" xfId="0" applyFont="1" applyBorder="1" applyAlignment="1">
      <alignment vertical="center"/>
    </xf>
    <xf numFmtId="0" fontId="18" fillId="8" borderId="16" xfId="0" applyFont="1" applyFill="1" applyBorder="1" applyAlignment="1">
      <alignment horizontal="center" vertical="center"/>
    </xf>
    <xf numFmtId="0" fontId="18" fillId="0" borderId="23" xfId="0" applyFont="1" applyBorder="1" applyAlignment="1">
      <alignment vertical="center" wrapText="1"/>
    </xf>
    <xf numFmtId="0" fontId="18" fillId="0" borderId="30" xfId="0" applyFont="1" applyBorder="1" applyAlignment="1">
      <alignment vertical="center" wrapText="1"/>
    </xf>
    <xf numFmtId="0" fontId="18" fillId="0" borderId="30" xfId="0" applyFont="1" applyBorder="1" applyAlignment="1">
      <alignment vertical="center"/>
    </xf>
    <xf numFmtId="0" fontId="18" fillId="0" borderId="10" xfId="0" applyFont="1" applyBorder="1" applyAlignment="1">
      <alignment horizontal="left" wrapText="1"/>
    </xf>
    <xf numFmtId="16" fontId="18" fillId="0" borderId="10" xfId="0" applyNumberFormat="1" applyFont="1" applyBorder="1"/>
    <xf numFmtId="0" fontId="16" fillId="0" borderId="38" xfId="0" applyFont="1" applyBorder="1"/>
    <xf numFmtId="14" fontId="0" fillId="0" borderId="59" xfId="0" applyNumberFormat="1" applyBorder="1" applyAlignment="1">
      <alignment wrapText="1"/>
    </xf>
    <xf numFmtId="0" fontId="0" fillId="0" borderId="59" xfId="0" applyBorder="1" applyAlignment="1">
      <alignment wrapText="1"/>
    </xf>
    <xf numFmtId="165" fontId="18" fillId="0" borderId="0" xfId="0" applyNumberFormat="1" applyFont="1" applyAlignment="1">
      <alignment horizontal="right"/>
    </xf>
    <xf numFmtId="165" fontId="0" fillId="0" borderId="0" xfId="0" applyNumberFormat="1"/>
    <xf numFmtId="44" fontId="18" fillId="0" borderId="0" xfId="0" applyNumberFormat="1" applyFont="1" applyAlignment="1">
      <alignment horizontal="right"/>
    </xf>
    <xf numFmtId="2" fontId="18" fillId="0" borderId="0" xfId="0" applyNumberFormat="1" applyFont="1" applyAlignment="1">
      <alignment horizontal="right" wrapText="1"/>
    </xf>
    <xf numFmtId="0" fontId="18" fillId="0" borderId="0" xfId="0" applyFont="1" applyAlignment="1">
      <alignment horizontal="right" wrapText="1"/>
    </xf>
    <xf numFmtId="14" fontId="18" fillId="0" borderId="8" xfId="0" applyNumberFormat="1" applyFont="1" applyBorder="1" applyAlignment="1">
      <alignment horizontal="right" wrapText="1"/>
    </xf>
    <xf numFmtId="0" fontId="18" fillId="0" borderId="8" xfId="0" applyFont="1" applyBorder="1" applyAlignment="1">
      <alignment horizontal="left" wrapText="1"/>
    </xf>
    <xf numFmtId="16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0" fontId="6" fillId="2" borderId="28" xfId="0" applyFont="1" applyFill="1" applyBorder="1" applyAlignment="1">
      <alignment horizontal="center" vertical="center"/>
    </xf>
    <xf numFmtId="0" fontId="0" fillId="0" borderId="23" xfId="0" applyBorder="1" applyAlignment="1">
      <alignment wrapText="1"/>
    </xf>
    <xf numFmtId="0" fontId="0" fillId="0" borderId="23" xfId="0" applyBorder="1"/>
    <xf numFmtId="0" fontId="26" fillId="0" borderId="23" xfId="0" applyFont="1" applyBorder="1" applyAlignment="1">
      <alignment vertical="center"/>
    </xf>
    <xf numFmtId="0" fontId="26" fillId="0" borderId="23" xfId="0" applyFont="1" applyBorder="1"/>
    <xf numFmtId="0" fontId="0" fillId="0" borderId="30" xfId="0" applyBorder="1" applyAlignment="1">
      <alignment vertical="center" wrapText="1"/>
    </xf>
    <xf numFmtId="0" fontId="0" fillId="0" borderId="23" xfId="0" applyBorder="1" applyAlignment="1">
      <alignment vertical="center"/>
    </xf>
    <xf numFmtId="16" fontId="0" fillId="0" borderId="30" xfId="0" applyNumberFormat="1" applyBorder="1"/>
    <xf numFmtId="0" fontId="16" fillId="0" borderId="33" xfId="0" applyFont="1" applyBorder="1" applyAlignment="1">
      <alignment vertical="center" wrapText="1"/>
    </xf>
    <xf numFmtId="0" fontId="31" fillId="0" borderId="42" xfId="0" applyFont="1" applyBorder="1"/>
    <xf numFmtId="44" fontId="0" fillId="0" borderId="0" xfId="0" applyNumberFormat="1"/>
    <xf numFmtId="0" fontId="16" fillId="0" borderId="38" xfId="0" applyFont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vertical="top"/>
    </xf>
    <xf numFmtId="0" fontId="31" fillId="0" borderId="30" xfId="0" applyFont="1" applyBorder="1" applyAlignment="1">
      <alignment vertical="top"/>
    </xf>
    <xf numFmtId="0" fontId="0" fillId="0" borderId="29" xfId="0" applyBorder="1" applyAlignment="1">
      <alignment wrapText="1"/>
    </xf>
    <xf numFmtId="0" fontId="0" fillId="0" borderId="59" xfId="0" applyBorder="1" applyAlignment="1">
      <alignment vertical="top"/>
    </xf>
    <xf numFmtId="0" fontId="31" fillId="0" borderId="38" xfId="0" applyFont="1" applyBorder="1" applyAlignment="1">
      <alignment vertical="top"/>
    </xf>
    <xf numFmtId="0" fontId="16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5" fillId="4" borderId="1" xfId="0" applyFont="1" applyFill="1" applyBorder="1"/>
    <xf numFmtId="0" fontId="0" fillId="4" borderId="16" xfId="0" applyFill="1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0" fontId="0" fillId="4" borderId="16" xfId="0" applyFill="1" applyBorder="1"/>
    <xf numFmtId="0" fontId="0" fillId="4" borderId="8" xfId="0" applyFill="1" applyBorder="1"/>
    <xf numFmtId="0" fontId="0" fillId="0" borderId="8" xfId="0" applyBorder="1" applyAlignment="1">
      <alignment horizontal="left" wrapText="1"/>
    </xf>
    <xf numFmtId="0" fontId="0" fillId="0" borderId="16" xfId="0" applyBorder="1" applyAlignment="1">
      <alignment horizontal="center" vertical="top"/>
    </xf>
    <xf numFmtId="14" fontId="0" fillId="0" borderId="16" xfId="0" applyNumberFormat="1" applyBorder="1" applyAlignment="1">
      <alignment vertical="top"/>
    </xf>
    <xf numFmtId="0" fontId="31" fillId="0" borderId="8" xfId="0" applyFont="1" applyBorder="1" applyAlignment="1">
      <alignment vertical="top"/>
    </xf>
    <xf numFmtId="0" fontId="31" fillId="0" borderId="42" xfId="0" applyFont="1" applyBorder="1" applyAlignment="1">
      <alignment wrapText="1"/>
    </xf>
    <xf numFmtId="0" fontId="16" fillId="0" borderId="37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6" fillId="0" borderId="37" xfId="0" applyFont="1" applyBorder="1" applyAlignment="1">
      <alignment vertical="center" wrapText="1"/>
    </xf>
    <xf numFmtId="0" fontId="0" fillId="0" borderId="29" xfId="0" applyBorder="1" applyAlignment="1">
      <alignment vertical="top"/>
    </xf>
    <xf numFmtId="0" fontId="16" fillId="0" borderId="38" xfId="0" applyFont="1" applyBorder="1" applyAlignment="1">
      <alignment vertical="top" wrapText="1"/>
    </xf>
    <xf numFmtId="14" fontId="16" fillId="0" borderId="1" xfId="0" applyNumberFormat="1" applyFont="1" applyBorder="1" applyAlignment="1">
      <alignment vertical="top"/>
    </xf>
    <xf numFmtId="0" fontId="0" fillId="8" borderId="16" xfId="0" applyFill="1" applyBorder="1" applyAlignment="1">
      <alignment horizontal="center" vertical="center"/>
    </xf>
    <xf numFmtId="0" fontId="16" fillId="0" borderId="30" xfId="0" applyFont="1" applyBorder="1" applyAlignment="1">
      <alignment vertical="center" wrapText="1"/>
    </xf>
    <xf numFmtId="0" fontId="0" fillId="0" borderId="56" xfId="0" applyBorder="1"/>
    <xf numFmtId="0" fontId="0" fillId="0" borderId="65" xfId="0" applyBorder="1"/>
    <xf numFmtId="0" fontId="0" fillId="0" borderId="28" xfId="0" applyBorder="1"/>
    <xf numFmtId="14" fontId="0" fillId="0" borderId="28" xfId="0" applyNumberFormat="1" applyBorder="1"/>
    <xf numFmtId="0" fontId="31" fillId="0" borderId="66" xfId="0" applyFont="1" applyBorder="1" applyAlignment="1">
      <alignment wrapText="1"/>
    </xf>
    <xf numFmtId="0" fontId="0" fillId="0" borderId="30" xfId="0" applyBorder="1" applyAlignment="1">
      <alignment horizontal="left" wrapText="1"/>
    </xf>
    <xf numFmtId="0" fontId="32" fillId="0" borderId="30" xfId="0" applyFont="1" applyBorder="1" applyAlignment="1">
      <alignment vertical="top"/>
    </xf>
    <xf numFmtId="0" fontId="16" fillId="0" borderId="30" xfId="0" applyFont="1" applyBorder="1" applyAlignment="1">
      <alignment vertical="top" wrapText="1"/>
    </xf>
    <xf numFmtId="0" fontId="16" fillId="0" borderId="30" xfId="0" applyFont="1" applyBorder="1" applyAlignment="1">
      <alignment vertical="top"/>
    </xf>
    <xf numFmtId="0" fontId="0" fillId="0" borderId="50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34" xfId="0" applyBorder="1" applyAlignment="1">
      <alignment horizontal="center" vertical="center"/>
    </xf>
    <xf numFmtId="16" fontId="0" fillId="0" borderId="34" xfId="0" applyNumberFormat="1" applyBorder="1"/>
    <xf numFmtId="0" fontId="0" fillId="0" borderId="34" xfId="0" applyBorder="1"/>
    <xf numFmtId="14" fontId="0" fillId="0" borderId="34" xfId="0" applyNumberFormat="1" applyBorder="1"/>
    <xf numFmtId="0" fontId="0" fillId="0" borderId="23" xfId="0" applyBorder="1" applyAlignment="1">
      <alignment vertical="top" wrapText="1"/>
    </xf>
    <xf numFmtId="0" fontId="32" fillId="0" borderId="30" xfId="0" applyFont="1" applyBorder="1" applyAlignment="1">
      <alignment vertical="top" wrapText="1"/>
    </xf>
    <xf numFmtId="0" fontId="16" fillId="4" borderId="8" xfId="0" applyFont="1" applyFill="1" applyBorder="1" applyAlignment="1">
      <alignment wrapText="1"/>
    </xf>
    <xf numFmtId="0" fontId="18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0" fillId="4" borderId="16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3" fontId="0" fillId="4" borderId="0" xfId="0" applyNumberFormat="1" applyFill="1" applyAlignment="1">
      <alignment horizontal="left" vertical="top"/>
    </xf>
    <xf numFmtId="0" fontId="0" fillId="0" borderId="29" xfId="0" applyBorder="1" applyAlignment="1">
      <alignment vertical="top" wrapText="1"/>
    </xf>
    <xf numFmtId="0" fontId="0" fillId="0" borderId="56" xfId="0" applyBorder="1" applyAlignment="1">
      <alignment vertical="top"/>
    </xf>
    <xf numFmtId="0" fontId="0" fillId="0" borderId="65" xfId="0" applyBorder="1" applyAlignment="1">
      <alignment vertical="top"/>
    </xf>
    <xf numFmtId="0" fontId="0" fillId="0" borderId="28" xfId="0" applyBorder="1" applyAlignment="1">
      <alignment vertical="top"/>
    </xf>
    <xf numFmtId="14" fontId="0" fillId="0" borderId="28" xfId="0" applyNumberFormat="1" applyBorder="1" applyAlignment="1">
      <alignment vertical="top"/>
    </xf>
    <xf numFmtId="16" fontId="0" fillId="0" borderId="31" xfId="0" applyNumberFormat="1" applyBorder="1"/>
    <xf numFmtId="0" fontId="5" fillId="8" borderId="13" xfId="0" applyFont="1" applyFill="1" applyBorder="1"/>
    <xf numFmtId="0" fontId="5" fillId="8" borderId="60" xfId="0" applyFont="1" applyFill="1" applyBorder="1"/>
    <xf numFmtId="0" fontId="0" fillId="8" borderId="2" xfId="0" applyFill="1" applyBorder="1" applyAlignment="1">
      <alignment horizontal="center" vertical="center"/>
    </xf>
    <xf numFmtId="0" fontId="0" fillId="8" borderId="60" xfId="0" applyFill="1" applyBorder="1"/>
    <xf numFmtId="0" fontId="0" fillId="8" borderId="2" xfId="0" applyFill="1" applyBorder="1"/>
    <xf numFmtId="0" fontId="0" fillId="8" borderId="18" xfId="0" applyFill="1" applyBorder="1"/>
    <xf numFmtId="0" fontId="6" fillId="2" borderId="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7" fillId="8" borderId="13" xfId="0" applyFont="1" applyFill="1" applyBorder="1"/>
    <xf numFmtId="0" fontId="0" fillId="0" borderId="26" xfId="0" applyBorder="1" applyAlignment="1">
      <alignment vertical="center"/>
    </xf>
    <xf numFmtId="14" fontId="18" fillId="0" borderId="41" xfId="0" applyNumberFormat="1" applyFont="1" applyBorder="1" applyAlignment="1">
      <alignment horizontal="right" wrapText="1"/>
    </xf>
    <xf numFmtId="14" fontId="18" fillId="0" borderId="16" xfId="0" applyNumberFormat="1" applyFont="1" applyBorder="1" applyAlignment="1">
      <alignment horizontal="right" wrapText="1"/>
    </xf>
    <xf numFmtId="0" fontId="18" fillId="0" borderId="16" xfId="0" applyFont="1" applyBorder="1" applyAlignment="1">
      <alignment horizontal="left" wrapText="1"/>
    </xf>
    <xf numFmtId="2" fontId="18" fillId="0" borderId="16" xfId="0" applyNumberFormat="1" applyFont="1" applyBorder="1" applyAlignment="1">
      <alignment horizontal="right" wrapText="1"/>
    </xf>
    <xf numFmtId="0" fontId="18" fillId="0" borderId="16" xfId="0" applyFont="1" applyBorder="1" applyAlignment="1">
      <alignment horizontal="right" wrapText="1"/>
    </xf>
    <xf numFmtId="0" fontId="19" fillId="8" borderId="13" xfId="0" applyFont="1" applyFill="1" applyBorder="1"/>
    <xf numFmtId="0" fontId="19" fillId="8" borderId="60" xfId="0" applyFont="1" applyFill="1" applyBorder="1"/>
    <xf numFmtId="0" fontId="18" fillId="8" borderId="2" xfId="0" applyFont="1" applyFill="1" applyBorder="1" applyAlignment="1">
      <alignment horizontal="center" vertical="center"/>
    </xf>
    <xf numFmtId="0" fontId="18" fillId="8" borderId="60" xfId="0" applyFont="1" applyFill="1" applyBorder="1"/>
    <xf numFmtId="0" fontId="18" fillId="8" borderId="2" xfId="0" applyFont="1" applyFill="1" applyBorder="1"/>
    <xf numFmtId="0" fontId="18" fillId="8" borderId="18" xfId="0" applyFont="1" applyFill="1" applyBorder="1"/>
    <xf numFmtId="0" fontId="30" fillId="0" borderId="36" xfId="0" applyFont="1" applyBorder="1" applyAlignment="1">
      <alignment horizontal="left" vertical="center" wrapText="1"/>
    </xf>
    <xf numFmtId="0" fontId="30" fillId="0" borderId="26" xfId="0" applyFont="1" applyBorder="1" applyAlignment="1">
      <alignment horizontal="left" vertical="center" wrapText="1"/>
    </xf>
    <xf numFmtId="0" fontId="18" fillId="0" borderId="7" xfId="0" applyFont="1" applyBorder="1" applyAlignment="1">
      <alignment vertical="center" wrapText="1"/>
    </xf>
    <xf numFmtId="0" fontId="18" fillId="0" borderId="19" xfId="0" applyFont="1" applyBorder="1" applyAlignment="1">
      <alignment wrapText="1"/>
    </xf>
    <xf numFmtId="0" fontId="30" fillId="0" borderId="55" xfId="0" applyFont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18" fillId="0" borderId="19" xfId="0" applyFont="1" applyBorder="1" applyAlignment="1">
      <alignment vertical="center"/>
    </xf>
    <xf numFmtId="0" fontId="16" fillId="0" borderId="8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16" fillId="0" borderId="36" xfId="0" applyFont="1" applyBorder="1" applyAlignment="1">
      <alignment vertical="center" wrapText="1"/>
    </xf>
    <xf numFmtId="0" fontId="18" fillId="0" borderId="56" xfId="0" applyFont="1" applyBorder="1"/>
    <xf numFmtId="0" fontId="18" fillId="0" borderId="65" xfId="0" applyFont="1" applyBorder="1"/>
    <xf numFmtId="0" fontId="18" fillId="0" borderId="28" xfId="0" applyFont="1" applyBorder="1"/>
    <xf numFmtId="14" fontId="18" fillId="0" borderId="28" xfId="0" applyNumberFormat="1" applyFont="1" applyBorder="1"/>
    <xf numFmtId="0" fontId="18" fillId="0" borderId="66" xfId="0" applyFont="1" applyBorder="1" applyAlignment="1">
      <alignment wrapText="1"/>
    </xf>
    <xf numFmtId="0" fontId="18" fillId="0" borderId="29" xfId="0" applyFont="1" applyBorder="1" applyAlignment="1">
      <alignment wrapText="1"/>
    </xf>
    <xf numFmtId="0" fontId="18" fillId="0" borderId="59" xfId="0" applyFont="1" applyBorder="1"/>
    <xf numFmtId="14" fontId="18" fillId="0" borderId="1" xfId="0" applyNumberFormat="1" applyFont="1" applyBorder="1"/>
    <xf numFmtId="0" fontId="18" fillId="0" borderId="38" xfId="0" applyFont="1" applyBorder="1" applyAlignment="1">
      <alignment wrapText="1"/>
    </xf>
    <xf numFmtId="0" fontId="18" fillId="0" borderId="29" xfId="0" applyFont="1" applyBorder="1"/>
    <xf numFmtId="0" fontId="18" fillId="0" borderId="36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8" fillId="0" borderId="38" xfId="0" applyFont="1" applyBorder="1"/>
    <xf numFmtId="0" fontId="18" fillId="0" borderId="0" xfId="0" applyFont="1" applyAlignment="1">
      <alignment vertical="center"/>
    </xf>
    <xf numFmtId="0" fontId="18" fillId="0" borderId="37" xfId="0" applyFont="1" applyBorder="1" applyAlignment="1">
      <alignment vertical="center" wrapText="1"/>
    </xf>
    <xf numFmtId="0" fontId="18" fillId="0" borderId="25" xfId="0" applyFont="1" applyBorder="1"/>
    <xf numFmtId="0" fontId="18" fillId="0" borderId="61" xfId="0" applyFont="1" applyBorder="1"/>
    <xf numFmtId="0" fontId="18" fillId="0" borderId="31" xfId="0" applyFont="1" applyBorder="1" applyAlignment="1">
      <alignment horizontal="center" vertical="center"/>
    </xf>
    <xf numFmtId="14" fontId="18" fillId="0" borderId="31" xfId="0" applyNumberFormat="1" applyFont="1" applyBorder="1"/>
    <xf numFmtId="0" fontId="18" fillId="0" borderId="33" xfId="0" applyFont="1" applyBorder="1" applyAlignment="1">
      <alignment vertical="center" wrapText="1"/>
    </xf>
    <xf numFmtId="0" fontId="19" fillId="0" borderId="38" xfId="0" applyFont="1" applyBorder="1"/>
    <xf numFmtId="0" fontId="18" fillId="0" borderId="29" xfId="0" applyFont="1" applyBorder="1" applyAlignment="1">
      <alignment vertical="top"/>
    </xf>
    <xf numFmtId="0" fontId="18" fillId="0" borderId="59" xfId="0" applyFont="1" applyBorder="1" applyAlignment="1">
      <alignment vertical="top"/>
    </xf>
    <xf numFmtId="0" fontId="18" fillId="0" borderId="1" xfId="0" applyFont="1" applyBorder="1" applyAlignment="1">
      <alignment horizontal="center" vertical="top"/>
    </xf>
    <xf numFmtId="0" fontId="18" fillId="0" borderId="36" xfId="0" applyFont="1" applyBorder="1" applyAlignment="1">
      <alignment horizontal="left" vertical="top" wrapText="1"/>
    </xf>
    <xf numFmtId="0" fontId="18" fillId="0" borderId="26" xfId="0" applyFont="1" applyBorder="1" applyAlignment="1">
      <alignment horizontal="left" vertical="top" wrapText="1"/>
    </xf>
    <xf numFmtId="14" fontId="18" fillId="0" borderId="1" xfId="0" applyNumberFormat="1" applyFont="1" applyBorder="1" applyAlignment="1">
      <alignment vertical="top"/>
    </xf>
    <xf numFmtId="0" fontId="18" fillId="0" borderId="38" xfId="0" applyFont="1" applyBorder="1" applyAlignment="1">
      <alignment vertical="top" wrapText="1"/>
    </xf>
    <xf numFmtId="0" fontId="18" fillId="0" borderId="23" xfId="0" applyFont="1" applyBorder="1"/>
    <xf numFmtId="0" fontId="18" fillId="0" borderId="30" xfId="0" applyFont="1" applyBorder="1" applyAlignment="1">
      <alignment horizontal="left" wrapText="1"/>
    </xf>
    <xf numFmtId="0" fontId="18" fillId="0" borderId="23" xfId="0" applyFont="1" applyBorder="1" applyAlignment="1">
      <alignment wrapText="1"/>
    </xf>
    <xf numFmtId="0" fontId="18" fillId="0" borderId="1" xfId="0" applyFont="1" applyBorder="1" applyAlignment="1">
      <alignment vertical="top"/>
    </xf>
    <xf numFmtId="0" fontId="18" fillId="0" borderId="30" xfId="0" applyFont="1" applyBorder="1" applyAlignment="1">
      <alignment vertical="top" wrapText="1"/>
    </xf>
    <xf numFmtId="0" fontId="18" fillId="0" borderId="30" xfId="0" applyFont="1" applyBorder="1" applyAlignment="1">
      <alignment vertical="top"/>
    </xf>
    <xf numFmtId="0" fontId="0" fillId="4" borderId="1" xfId="0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0" fillId="4" borderId="16" xfId="0" applyFill="1" applyBorder="1" applyAlignment="1">
      <alignment horizontal="center" vertical="top"/>
    </xf>
    <xf numFmtId="0" fontId="0" fillId="4" borderId="0" xfId="0" applyFill="1" applyAlignment="1">
      <alignment vertical="top"/>
    </xf>
    <xf numFmtId="3" fontId="0" fillId="4" borderId="0" xfId="0" applyNumberFormat="1" applyFill="1" applyAlignment="1">
      <alignment horizontal="center" vertical="top"/>
    </xf>
    <xf numFmtId="0" fontId="16" fillId="0" borderId="36" xfId="0" applyFont="1" applyBorder="1" applyAlignment="1">
      <alignment horizontal="left" vertical="top" wrapText="1"/>
    </xf>
    <xf numFmtId="0" fontId="16" fillId="0" borderId="26" xfId="0" applyFont="1" applyBorder="1" applyAlignment="1">
      <alignment horizontal="left" vertical="top" wrapText="1"/>
    </xf>
    <xf numFmtId="0" fontId="0" fillId="0" borderId="23" xfId="0" applyBorder="1" applyAlignment="1">
      <alignment vertical="center" wrapText="1"/>
    </xf>
    <xf numFmtId="0" fontId="16" fillId="0" borderId="0" xfId="0" applyFont="1" applyAlignment="1">
      <alignment horizontal="left" vertical="top" wrapText="1"/>
    </xf>
    <xf numFmtId="0" fontId="17" fillId="3" borderId="29" xfId="0" applyFont="1" applyFill="1" applyBorder="1" applyAlignment="1">
      <alignment horizontal="center" wrapText="1"/>
    </xf>
    <xf numFmtId="0" fontId="13" fillId="10" borderId="1" xfId="0" applyFont="1" applyFill="1" applyBorder="1" applyAlignment="1">
      <alignment vertical="center"/>
    </xf>
    <xf numFmtId="0" fontId="20" fillId="10" borderId="1" xfId="0" applyFont="1" applyFill="1" applyBorder="1"/>
    <xf numFmtId="0" fontId="20" fillId="10" borderId="1" xfId="0" applyFont="1" applyFill="1" applyBorder="1" applyAlignment="1">
      <alignment vertical="center"/>
    </xf>
    <xf numFmtId="0" fontId="13" fillId="10" borderId="1" xfId="0" applyFont="1" applyFill="1" applyBorder="1" applyAlignment="1">
      <alignment wrapText="1"/>
    </xf>
    <xf numFmtId="0" fontId="13" fillId="4" borderId="1" xfId="0" applyFont="1" applyFill="1" applyBorder="1" applyAlignment="1">
      <alignment vertical="center"/>
    </xf>
    <xf numFmtId="3" fontId="12" fillId="4" borderId="22" xfId="0" applyNumberFormat="1" applyFont="1" applyFill="1" applyBorder="1" applyAlignment="1">
      <alignment vertical="center"/>
    </xf>
    <xf numFmtId="3" fontId="12" fillId="4" borderId="26" xfId="0" applyNumberFormat="1" applyFont="1" applyFill="1" applyBorder="1" applyAlignment="1">
      <alignment vertical="center"/>
    </xf>
    <xf numFmtId="0" fontId="12" fillId="4" borderId="26" xfId="0" applyFont="1" applyFill="1" applyBorder="1" applyAlignment="1">
      <alignment vertical="center"/>
    </xf>
    <xf numFmtId="0" fontId="12" fillId="4" borderId="26" xfId="0" applyFont="1" applyFill="1" applyBorder="1" applyAlignment="1">
      <alignment horizontal="right" vertical="center"/>
    </xf>
    <xf numFmtId="3" fontId="12" fillId="4" borderId="26" xfId="0" applyNumberFormat="1" applyFont="1" applyFill="1" applyBorder="1" applyAlignment="1">
      <alignment horizontal="right" vertical="center"/>
    </xf>
    <xf numFmtId="3" fontId="12" fillId="4" borderId="22" xfId="0" applyNumberFormat="1" applyFont="1" applyFill="1" applyBorder="1" applyAlignment="1">
      <alignment horizontal="right" vertical="center"/>
    </xf>
    <xf numFmtId="3" fontId="12" fillId="4" borderId="19" xfId="0" applyNumberFormat="1" applyFont="1" applyFill="1" applyBorder="1" applyAlignment="1">
      <alignment horizontal="right" vertical="center"/>
    </xf>
    <xf numFmtId="3" fontId="12" fillId="4" borderId="21" xfId="0" applyNumberFormat="1" applyFont="1" applyFill="1" applyBorder="1" applyAlignment="1">
      <alignment horizontal="right" vertical="center"/>
    </xf>
    <xf numFmtId="3" fontId="12" fillId="4" borderId="21" xfId="0" applyNumberFormat="1" applyFont="1" applyFill="1" applyBorder="1" applyAlignment="1">
      <alignment vertical="center"/>
    </xf>
    <xf numFmtId="3" fontId="12" fillId="4" borderId="57" xfId="0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  <xf numFmtId="0" fontId="12" fillId="0" borderId="61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2" fillId="0" borderId="59" xfId="0" applyFont="1" applyBorder="1" applyAlignment="1">
      <alignment horizontal="right"/>
    </xf>
    <xf numFmtId="0" fontId="12" fillId="0" borderId="1" xfId="0" applyFont="1" applyBorder="1" applyAlignment="1">
      <alignment horizontal="right" vertical="center"/>
    </xf>
    <xf numFmtId="0" fontId="0" fillId="4" borderId="8" xfId="0" applyFill="1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vertical="top"/>
    </xf>
    <xf numFmtId="0" fontId="0" fillId="4" borderId="23" xfId="0" applyFill="1" applyBorder="1" applyAlignment="1">
      <alignment vertical="center"/>
    </xf>
    <xf numFmtId="0" fontId="0" fillId="0" borderId="68" xfId="0" applyBorder="1" applyAlignment="1">
      <alignment vertical="top"/>
    </xf>
    <xf numFmtId="0" fontId="0" fillId="0" borderId="8" xfId="0" applyBorder="1" applyAlignment="1">
      <alignment horizontal="left" vertical="top"/>
    </xf>
    <xf numFmtId="0" fontId="16" fillId="0" borderId="26" xfId="0" applyFont="1" applyBorder="1" applyAlignment="1">
      <alignment vertical="top" wrapText="1"/>
    </xf>
    <xf numFmtId="0" fontId="16" fillId="0" borderId="30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0" fillId="0" borderId="26" xfId="0" applyBorder="1"/>
    <xf numFmtId="0" fontId="6" fillId="4" borderId="1" xfId="0" applyFont="1" applyFill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9" xfId="0" applyBorder="1" applyAlignment="1">
      <alignment vertical="center"/>
    </xf>
    <xf numFmtId="0" fontId="0" fillId="8" borderId="15" xfId="0" applyFill="1" applyBorder="1" applyAlignment="1">
      <alignment horizontal="center" vertical="center" wrapText="1"/>
    </xf>
    <xf numFmtId="0" fontId="0" fillId="0" borderId="56" xfId="0" applyBorder="1" applyAlignment="1">
      <alignment vertical="center"/>
    </xf>
    <xf numFmtId="0" fontId="0" fillId="0" borderId="28" xfId="0" applyBorder="1" applyAlignment="1">
      <alignment horizontal="left" vertical="center"/>
    </xf>
    <xf numFmtId="14" fontId="0" fillId="0" borderId="28" xfId="0" applyNumberFormat="1" applyBorder="1" applyAlignment="1">
      <alignment vertical="center"/>
    </xf>
    <xf numFmtId="0" fontId="31" fillId="0" borderId="66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0" fontId="16" fillId="0" borderId="38" xfId="0" applyFont="1" applyBorder="1" applyAlignment="1">
      <alignment vertical="center" wrapText="1"/>
    </xf>
    <xf numFmtId="0" fontId="0" fillId="0" borderId="30" xfId="0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0" borderId="5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31" fillId="0" borderId="39" xfId="0" applyFont="1" applyBorder="1" applyAlignment="1">
      <alignment horizontal="left" vertical="center"/>
    </xf>
    <xf numFmtId="0" fontId="0" fillId="0" borderId="51" xfId="0" applyBorder="1" applyAlignment="1">
      <alignment wrapText="1"/>
    </xf>
    <xf numFmtId="0" fontId="0" fillId="0" borderId="41" xfId="0" applyBorder="1" applyAlignment="1">
      <alignment horizontal="center" vertical="top"/>
    </xf>
    <xf numFmtId="0" fontId="0" fillId="0" borderId="41" xfId="0" applyBorder="1" applyAlignment="1">
      <alignment horizontal="left" vertical="top" wrapText="1"/>
    </xf>
    <xf numFmtId="14" fontId="0" fillId="0" borderId="16" xfId="0" applyNumberFormat="1" applyBorder="1" applyAlignment="1">
      <alignment vertical="center"/>
    </xf>
    <xf numFmtId="0" fontId="31" fillId="0" borderId="39" xfId="0" applyFont="1" applyBorder="1" applyAlignment="1">
      <alignment vertical="top"/>
    </xf>
    <xf numFmtId="0" fontId="0" fillId="0" borderId="28" xfId="0" applyBorder="1" applyAlignment="1">
      <alignment vertical="center"/>
    </xf>
    <xf numFmtId="0" fontId="33" fillId="8" borderId="5" xfId="0" applyFont="1" applyFill="1" applyBorder="1"/>
    <xf numFmtId="0" fontId="0" fillId="0" borderId="4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59" xfId="0" applyBorder="1" applyAlignment="1">
      <alignment vertical="center"/>
    </xf>
    <xf numFmtId="0" fontId="0" fillId="0" borderId="51" xfId="0" applyBorder="1" applyAlignment="1">
      <alignment vertical="center" wrapText="1"/>
    </xf>
    <xf numFmtId="0" fontId="0" fillId="0" borderId="38" xfId="0" applyBorder="1" applyAlignment="1">
      <alignment wrapText="1"/>
    </xf>
    <xf numFmtId="0" fontId="0" fillId="0" borderId="41" xfId="0" applyBorder="1" applyAlignment="1">
      <alignment horizontal="left" vertical="center"/>
    </xf>
    <xf numFmtId="0" fontId="0" fillId="0" borderId="41" xfId="0" applyBorder="1" applyAlignment="1">
      <alignment horizontal="left" vertical="top"/>
    </xf>
    <xf numFmtId="0" fontId="0" fillId="0" borderId="67" xfId="0" applyBorder="1"/>
    <xf numFmtId="0" fontId="26" fillId="0" borderId="27" xfId="0" applyFont="1" applyBorder="1"/>
    <xf numFmtId="0" fontId="0" fillId="0" borderId="28" xfId="0" applyBorder="1" applyAlignment="1">
      <alignment horizontal="center" vertical="center"/>
    </xf>
    <xf numFmtId="0" fontId="16" fillId="0" borderId="8" xfId="0" applyFont="1" applyBorder="1"/>
    <xf numFmtId="0" fontId="18" fillId="0" borderId="30" xfId="0" applyFont="1" applyBorder="1" applyAlignment="1">
      <alignment horizontal="left" vertical="top" wrapText="1"/>
    </xf>
    <xf numFmtId="0" fontId="16" fillId="0" borderId="0" xfId="0" applyFont="1"/>
    <xf numFmtId="0" fontId="0" fillId="0" borderId="1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14" fontId="0" fillId="0" borderId="1" xfId="0" applyNumberFormat="1" applyBorder="1" applyAlignment="1">
      <alignment horizontal="right" vertical="center"/>
    </xf>
    <xf numFmtId="14" fontId="0" fillId="0" borderId="16" xfId="0" applyNumberFormat="1" applyBorder="1" applyAlignment="1">
      <alignment horizontal="right" vertical="center"/>
    </xf>
    <xf numFmtId="0" fontId="12" fillId="0" borderId="59" xfId="0" applyFont="1" applyBorder="1" applyAlignment="1">
      <alignment horizontal="right" vertical="center"/>
    </xf>
    <xf numFmtId="0" fontId="8" fillId="4" borderId="1" xfId="0" applyFont="1" applyFill="1" applyBorder="1" applyAlignment="1">
      <alignment vertical="center"/>
    </xf>
    <xf numFmtId="0" fontId="12" fillId="4" borderId="31" xfId="0" applyFont="1" applyFill="1" applyBorder="1" applyAlignment="1">
      <alignment vertical="center" wrapText="1"/>
    </xf>
    <xf numFmtId="0" fontId="0" fillId="4" borderId="33" xfId="0" applyFill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0" fillId="10" borderId="41" xfId="0" applyFill="1" applyBorder="1" applyAlignment="1">
      <alignment horizontal="center" vertical="center"/>
    </xf>
    <xf numFmtId="0" fontId="12" fillId="4" borderId="55" xfId="0" applyFont="1" applyFill="1" applyBorder="1" applyAlignment="1">
      <alignment horizontal="right" vertical="center"/>
    </xf>
    <xf numFmtId="0" fontId="12" fillId="4" borderId="16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3" fillId="11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3" fillId="11" borderId="1" xfId="0" applyFont="1" applyFill="1" applyBorder="1" applyAlignment="1">
      <alignment vertical="center" wrapText="1"/>
    </xf>
    <xf numFmtId="3" fontId="13" fillId="4" borderId="1" xfId="0" applyNumberFormat="1" applyFont="1" applyFill="1" applyBorder="1" applyAlignment="1">
      <alignment vertical="center"/>
    </xf>
    <xf numFmtId="0" fontId="13" fillId="10" borderId="1" xfId="0" applyFont="1" applyFill="1" applyBorder="1" applyAlignment="1">
      <alignment vertical="center" wrapText="1"/>
    </xf>
    <xf numFmtId="0" fontId="20" fillId="10" borderId="1" xfId="0" applyFont="1" applyFill="1" applyBorder="1" applyAlignment="1">
      <alignment vertical="center" wrapText="1"/>
    </xf>
    <xf numFmtId="0" fontId="13" fillId="11" borderId="41" xfId="0" applyFont="1" applyFill="1" applyBorder="1" applyAlignment="1">
      <alignment wrapText="1"/>
    </xf>
    <xf numFmtId="0" fontId="13" fillId="11" borderId="1" xfId="0" applyFont="1" applyFill="1" applyBorder="1" applyAlignment="1">
      <alignment wrapText="1"/>
    </xf>
    <xf numFmtId="0" fontId="12" fillId="0" borderId="61" xfId="0" applyFont="1" applyBorder="1" applyAlignment="1">
      <alignment horizontal="right" vertical="center"/>
    </xf>
    <xf numFmtId="0" fontId="13" fillId="4" borderId="32" xfId="0" applyFont="1" applyFill="1" applyBorder="1" applyAlignment="1">
      <alignment vertical="center"/>
    </xf>
    <xf numFmtId="0" fontId="13" fillId="10" borderId="22" xfId="0" applyFont="1" applyFill="1" applyBorder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13" fillId="10" borderId="41" xfId="0" applyFont="1" applyFill="1" applyBorder="1" applyAlignment="1">
      <alignment wrapText="1"/>
    </xf>
    <xf numFmtId="0" fontId="12" fillId="0" borderId="41" xfId="0" applyFont="1" applyBorder="1" applyAlignment="1">
      <alignment horizontal="left"/>
    </xf>
    <xf numFmtId="0" fontId="13" fillId="11" borderId="16" xfId="0" applyFont="1" applyFill="1" applyBorder="1" applyAlignment="1">
      <alignment horizontal="left" vertical="center" wrapText="1"/>
    </xf>
    <xf numFmtId="3" fontId="13" fillId="4" borderId="16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12" fillId="4" borderId="1" xfId="0" applyFont="1" applyFill="1" applyBorder="1"/>
    <xf numFmtId="0" fontId="34" fillId="5" borderId="0" xfId="0" applyFont="1" applyFill="1" applyAlignment="1">
      <alignment horizontal="center" vertical="center"/>
    </xf>
    <xf numFmtId="0" fontId="11" fillId="0" borderId="0" xfId="0" applyFont="1"/>
    <xf numFmtId="0" fontId="34" fillId="5" borderId="52" xfId="0" applyFont="1" applyFill="1" applyBorder="1" applyAlignment="1">
      <alignment horizontal="center" vertical="center"/>
    </xf>
    <xf numFmtId="0" fontId="35" fillId="0" borderId="0" xfId="0" applyFont="1"/>
    <xf numFmtId="0" fontId="13" fillId="0" borderId="0" xfId="0" applyFont="1"/>
    <xf numFmtId="0" fontId="9" fillId="5" borderId="0" xfId="0" applyFont="1" applyFill="1" applyAlignment="1">
      <alignment horizontal="center" vertical="center" wrapText="1"/>
    </xf>
    <xf numFmtId="0" fontId="12" fillId="0" borderId="62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12" fillId="0" borderId="23" xfId="0" applyFont="1" applyBorder="1" applyAlignment="1">
      <alignment horizontal="left" wrapText="1"/>
    </xf>
    <xf numFmtId="0" fontId="12" fillId="0" borderId="26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8" fillId="4" borderId="29" xfId="0" applyFont="1" applyFill="1" applyBorder="1" applyAlignment="1">
      <alignment horizontal="center" vertical="center"/>
    </xf>
    <xf numFmtId="0" fontId="8" fillId="4" borderId="59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5" borderId="4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4" borderId="7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2" fillId="4" borderId="19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3" fillId="0" borderId="23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9" xfId="0" applyBorder="1" applyAlignment="1">
      <alignment horizontal="left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19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22" xfId="0" applyBorder="1" applyAlignment="1">
      <alignment horizontal="center"/>
    </xf>
    <xf numFmtId="0" fontId="1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8" fillId="0" borderId="55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top" wrapText="1"/>
    </xf>
    <xf numFmtId="0" fontId="18" fillId="0" borderId="26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6" fillId="2" borderId="1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8" fillId="0" borderId="46" xfId="0" applyFont="1" applyBorder="1" applyAlignment="1">
      <alignment horizontal="left" vertical="center" wrapText="1"/>
    </xf>
    <xf numFmtId="0" fontId="18" fillId="0" borderId="57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9" borderId="7" xfId="0" applyFont="1" applyFill="1" applyBorder="1" applyAlignment="1">
      <alignment horizontal="left"/>
    </xf>
    <xf numFmtId="0" fontId="18" fillId="9" borderId="19" xfId="0" applyFont="1" applyFill="1" applyBorder="1" applyAlignment="1">
      <alignment horizontal="left"/>
    </xf>
    <xf numFmtId="0" fontId="18" fillId="0" borderId="7" xfId="0" applyFont="1" applyBorder="1" applyAlignment="1">
      <alignment horizontal="left" wrapText="1"/>
    </xf>
    <xf numFmtId="0" fontId="0" fillId="0" borderId="0" xfId="0"/>
    <xf numFmtId="0" fontId="0" fillId="0" borderId="19" xfId="0" applyBorder="1"/>
    <xf numFmtId="0" fontId="0" fillId="0" borderId="1" xfId="0" applyBorder="1" applyAlignment="1">
      <alignment horizontal="left" vertical="top" wrapText="1"/>
    </xf>
    <xf numFmtId="0" fontId="30" fillId="0" borderId="36" xfId="0" applyFont="1" applyBorder="1" applyAlignment="1">
      <alignment horizontal="left" vertical="center" wrapText="1"/>
    </xf>
    <xf numFmtId="0" fontId="30" fillId="0" borderId="26" xfId="0" applyFont="1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6" fillId="0" borderId="36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center" wrapText="1"/>
    </xf>
    <xf numFmtId="0" fontId="16" fillId="0" borderId="36" xfId="0" applyFont="1" applyBorder="1" applyAlignment="1">
      <alignment horizontal="left" vertical="top" wrapText="1"/>
    </xf>
    <xf numFmtId="0" fontId="16" fillId="0" borderId="26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4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6" fillId="2" borderId="63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0" fillId="0" borderId="46" xfId="0" applyBorder="1" applyAlignment="1">
      <alignment horizontal="left" vertical="top" wrapText="1"/>
    </xf>
    <xf numFmtId="0" fontId="0" fillId="0" borderId="57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16" fillId="0" borderId="39" xfId="0" applyFont="1" applyBorder="1" applyAlignment="1">
      <alignment horizontal="left" vertical="center" wrapText="1"/>
    </xf>
    <xf numFmtId="0" fontId="16" fillId="0" borderId="37" xfId="0" applyFont="1" applyBorder="1" applyAlignment="1">
      <alignment horizontal="left" vertical="center" wrapText="1"/>
    </xf>
    <xf numFmtId="0" fontId="16" fillId="0" borderId="33" xfId="0" applyFont="1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18" fillId="0" borderId="7" xfId="0" applyFont="1" applyBorder="1" applyAlignment="1">
      <alignment horizontal="left" vertical="top" wrapText="1"/>
    </xf>
    <xf numFmtId="0" fontId="18" fillId="0" borderId="19" xfId="0" applyFont="1" applyBorder="1" applyAlignment="1">
      <alignment horizontal="left" vertical="top" wrapText="1"/>
    </xf>
    <xf numFmtId="0" fontId="18" fillId="9" borderId="7" xfId="0" applyFont="1" applyFill="1" applyBorder="1" applyAlignment="1">
      <alignment horizontal="left" wrapText="1"/>
    </xf>
    <xf numFmtId="0" fontId="18" fillId="9" borderId="19" xfId="0" applyFont="1" applyFill="1" applyBorder="1" applyAlignment="1">
      <alignment horizontal="left" wrapText="1"/>
    </xf>
    <xf numFmtId="0" fontId="29" fillId="0" borderId="7" xfId="0" applyFont="1" applyBorder="1" applyAlignment="1">
      <alignment horizontal="left" wrapText="1"/>
    </xf>
    <xf numFmtId="0" fontId="29" fillId="0" borderId="19" xfId="0" applyFont="1" applyBorder="1" applyAlignment="1">
      <alignment horizontal="left" wrapText="1"/>
    </xf>
    <xf numFmtId="0" fontId="15" fillId="0" borderId="10" xfId="0" applyFont="1" applyBorder="1" applyAlignment="1">
      <alignment horizontal="left"/>
    </xf>
    <xf numFmtId="0" fontId="0" fillId="0" borderId="48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0" fillId="0" borderId="36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7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17" fontId="11" fillId="0" borderId="0" xfId="0" applyNumberFormat="1" applyFont="1" applyAlignment="1">
      <alignment horizontal="center" vertical="center"/>
    </xf>
    <xf numFmtId="16" fontId="0" fillId="0" borderId="55" xfId="0" applyNumberFormat="1" applyBorder="1" applyAlignment="1">
      <alignment horizontal="left" wrapText="1"/>
    </xf>
    <xf numFmtId="16" fontId="0" fillId="0" borderId="19" xfId="0" applyNumberFormat="1" applyBorder="1" applyAlignment="1">
      <alignment horizontal="left" wrapText="1"/>
    </xf>
    <xf numFmtId="0" fontId="22" fillId="0" borderId="7" xfId="0" applyFont="1" applyBorder="1" applyAlignment="1">
      <alignment horizontal="left" wrapText="1"/>
    </xf>
    <xf numFmtId="0" fontId="22" fillId="0" borderId="19" xfId="0" applyFont="1" applyBorder="1" applyAlignment="1">
      <alignment horizontal="left" wrapText="1"/>
    </xf>
    <xf numFmtId="0" fontId="0" fillId="0" borderId="39" xfId="0" applyBorder="1" applyAlignment="1">
      <alignment horizontal="center" vertical="center" wrapText="1"/>
    </xf>
    <xf numFmtId="0" fontId="16" fillId="0" borderId="1" xfId="0" applyFont="1" applyBorder="1" applyAlignment="1">
      <alignment horizontal="left" vertical="top" wrapText="1"/>
    </xf>
    <xf numFmtId="0" fontId="0" fillId="4" borderId="4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8" fillId="0" borderId="54" xfId="0" applyFont="1" applyBorder="1" applyAlignment="1">
      <alignment horizontal="left" wrapText="1"/>
    </xf>
    <xf numFmtId="0" fontId="0" fillId="0" borderId="7" xfId="0" applyBorder="1"/>
    <xf numFmtId="0" fontId="1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36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263236</xdr:colOff>
      <xdr:row>16</xdr:row>
      <xdr:rowOff>26471</xdr:rowOff>
    </xdr:from>
    <xdr:ext cx="2263588" cy="1156607"/>
    <xdr:pic>
      <xdr:nvPicPr>
        <xdr:cNvPr id="3" name="Image 2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748145" y="386689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207818</xdr:colOff>
      <xdr:row>53</xdr:row>
      <xdr:rowOff>123453</xdr:rowOff>
    </xdr:from>
    <xdr:ext cx="2263588" cy="1156607"/>
    <xdr:pic>
      <xdr:nvPicPr>
        <xdr:cNvPr id="7" name="Image 6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692727" y="9142762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226563</xdr:colOff>
      <xdr:row>85</xdr:row>
      <xdr:rowOff>69664</xdr:rowOff>
    </xdr:from>
    <xdr:ext cx="2263588" cy="1156607"/>
    <xdr:pic>
      <xdr:nvPicPr>
        <xdr:cNvPr id="9" name="Image 8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711472" y="16002391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235527</xdr:colOff>
      <xdr:row>118</xdr:row>
      <xdr:rowOff>40326</xdr:rowOff>
    </xdr:from>
    <xdr:ext cx="2263588" cy="1156607"/>
    <xdr:pic>
      <xdr:nvPicPr>
        <xdr:cNvPr id="11" name="Image 10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720436" y="22235308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249382</xdr:colOff>
      <xdr:row>150</xdr:row>
      <xdr:rowOff>109599</xdr:rowOff>
    </xdr:from>
    <xdr:ext cx="2263588" cy="1156607"/>
    <xdr:pic>
      <xdr:nvPicPr>
        <xdr:cNvPr id="13" name="Image 12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734291" y="29037890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290945</xdr:colOff>
      <xdr:row>183</xdr:row>
      <xdr:rowOff>95744</xdr:rowOff>
    </xdr:from>
    <xdr:ext cx="2263588" cy="1156607"/>
    <xdr:pic>
      <xdr:nvPicPr>
        <xdr:cNvPr id="15" name="Image 14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775854" y="35937453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332509</xdr:colOff>
      <xdr:row>216</xdr:row>
      <xdr:rowOff>81889</xdr:rowOff>
    </xdr:from>
    <xdr:ext cx="2263588" cy="1156607"/>
    <xdr:pic>
      <xdr:nvPicPr>
        <xdr:cNvPr id="18" name="Image 17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17418" y="42837016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166255</xdr:colOff>
      <xdr:row>249</xdr:row>
      <xdr:rowOff>54181</xdr:rowOff>
    </xdr:from>
    <xdr:ext cx="2263588" cy="1156607"/>
    <xdr:pic>
      <xdr:nvPicPr>
        <xdr:cNvPr id="19" name="Image 18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651164" y="49722726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290946</xdr:colOff>
      <xdr:row>282</xdr:row>
      <xdr:rowOff>54180</xdr:rowOff>
    </xdr:from>
    <xdr:ext cx="2263588" cy="1156607"/>
    <xdr:pic>
      <xdr:nvPicPr>
        <xdr:cNvPr id="21" name="Image 20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775855" y="56636144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221672</xdr:colOff>
      <xdr:row>315</xdr:row>
      <xdr:rowOff>81890</xdr:rowOff>
    </xdr:from>
    <xdr:ext cx="2263588" cy="1156607"/>
    <xdr:pic>
      <xdr:nvPicPr>
        <xdr:cNvPr id="23" name="Image 22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706581" y="63577272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263237</xdr:colOff>
      <xdr:row>347</xdr:row>
      <xdr:rowOff>68035</xdr:rowOff>
    </xdr:from>
    <xdr:ext cx="2263588" cy="1156607"/>
    <xdr:pic>
      <xdr:nvPicPr>
        <xdr:cNvPr id="4" name="Image 3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748146" y="70296726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346364</xdr:colOff>
      <xdr:row>380</xdr:row>
      <xdr:rowOff>40326</xdr:rowOff>
    </xdr:from>
    <xdr:ext cx="2263588" cy="1156607"/>
    <xdr:pic>
      <xdr:nvPicPr>
        <xdr:cNvPr id="6" name="Image 5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31273" y="77182435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346364</xdr:colOff>
      <xdr:row>414</xdr:row>
      <xdr:rowOff>40326</xdr:rowOff>
    </xdr:from>
    <xdr:ext cx="2263588" cy="1156607"/>
    <xdr:pic>
      <xdr:nvPicPr>
        <xdr:cNvPr id="10" name="Image 9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31273" y="77514944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346364</xdr:colOff>
      <xdr:row>447</xdr:row>
      <xdr:rowOff>40326</xdr:rowOff>
    </xdr:from>
    <xdr:ext cx="2263588" cy="1156607"/>
    <xdr:pic>
      <xdr:nvPicPr>
        <xdr:cNvPr id="14" name="Image 13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31273" y="84608471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346364</xdr:colOff>
      <xdr:row>481</xdr:row>
      <xdr:rowOff>40326</xdr:rowOff>
    </xdr:from>
    <xdr:ext cx="2263588" cy="1156607"/>
    <xdr:pic>
      <xdr:nvPicPr>
        <xdr:cNvPr id="16" name="Image 15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31273" y="91521890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346364</xdr:colOff>
      <xdr:row>515</xdr:row>
      <xdr:rowOff>40326</xdr:rowOff>
    </xdr:from>
    <xdr:ext cx="2263588" cy="1156607"/>
    <xdr:pic>
      <xdr:nvPicPr>
        <xdr:cNvPr id="20" name="Image 19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31273" y="98809381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346364</xdr:colOff>
      <xdr:row>549</xdr:row>
      <xdr:rowOff>40326</xdr:rowOff>
    </xdr:from>
    <xdr:ext cx="2263588" cy="1156607"/>
    <xdr:pic>
      <xdr:nvPicPr>
        <xdr:cNvPr id="24" name="Image 23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31273" y="105902908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346364</xdr:colOff>
      <xdr:row>583</xdr:row>
      <xdr:rowOff>40326</xdr:rowOff>
    </xdr:from>
    <xdr:ext cx="2263588" cy="1156607"/>
    <xdr:pic>
      <xdr:nvPicPr>
        <xdr:cNvPr id="26" name="Image 25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31273" y="112996435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346364</xdr:colOff>
      <xdr:row>615</xdr:row>
      <xdr:rowOff>40326</xdr:rowOff>
    </xdr:from>
    <xdr:ext cx="2263588" cy="1156607"/>
    <xdr:pic>
      <xdr:nvPicPr>
        <xdr:cNvPr id="28" name="Image 27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31273" y="120089962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346364</xdr:colOff>
      <xdr:row>649</xdr:row>
      <xdr:rowOff>40326</xdr:rowOff>
    </xdr:from>
    <xdr:ext cx="2263588" cy="1156607"/>
    <xdr:pic>
      <xdr:nvPicPr>
        <xdr:cNvPr id="30" name="Image 29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31273" y="126823271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346364</xdr:colOff>
      <xdr:row>683</xdr:row>
      <xdr:rowOff>40326</xdr:rowOff>
    </xdr:from>
    <xdr:ext cx="2263588" cy="1156607"/>
    <xdr:pic>
      <xdr:nvPicPr>
        <xdr:cNvPr id="32" name="Image 31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31273" y="133916799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346364</xdr:colOff>
      <xdr:row>717</xdr:row>
      <xdr:rowOff>40326</xdr:rowOff>
    </xdr:from>
    <xdr:ext cx="2263588" cy="1156607"/>
    <xdr:pic>
      <xdr:nvPicPr>
        <xdr:cNvPr id="34" name="Image 33" descr="C:\Users\txurtjh\Desktop\CIAU 2014\New Logo CIAU.jpe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20345" r="13729" b="24121"/>
        <a:stretch/>
      </xdr:blipFill>
      <xdr:spPr bwMode="auto">
        <a:xfrm>
          <a:off x="831273" y="141010326"/>
          <a:ext cx="2263588" cy="1156607"/>
        </a:xfrm>
        <a:prstGeom prst="snipRound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67"/>
  <sheetViews>
    <sheetView tabSelected="1" zoomScale="73" zoomScaleNormal="73" workbookViewId="0">
      <pane ySplit="4" topLeftCell="A29" activePane="bottomLeft" state="frozen"/>
      <selection pane="bottomLeft" activeCell="B26" sqref="B26"/>
    </sheetView>
  </sheetViews>
  <sheetFormatPr baseColWidth="10" defaultRowHeight="14.4" x14ac:dyDescent="0.3"/>
  <cols>
    <col min="1" max="1" width="7" customWidth="1"/>
    <col min="2" max="2" width="17.109375" customWidth="1"/>
    <col min="3" max="3" width="50.77734375" customWidth="1"/>
    <col min="4" max="4" width="28.44140625" customWidth="1"/>
    <col min="5" max="5" width="18.44140625" customWidth="1"/>
    <col min="6" max="6" width="10.44140625" customWidth="1"/>
    <col min="7" max="7" width="16.5546875" customWidth="1"/>
    <col min="8" max="8" width="10.88671875" customWidth="1"/>
  </cols>
  <sheetData>
    <row r="1" spans="1:8" ht="25.8" x14ac:dyDescent="0.3">
      <c r="A1" s="549" t="s">
        <v>747</v>
      </c>
      <c r="B1" s="549"/>
      <c r="C1" s="549"/>
      <c r="D1" s="549"/>
      <c r="E1" s="549"/>
      <c r="F1" s="549"/>
      <c r="G1" s="549"/>
    </row>
    <row r="2" spans="1:8" ht="25.8" x14ac:dyDescent="0.3">
      <c r="A2" s="73"/>
      <c r="B2" s="73"/>
      <c r="C2" s="73"/>
      <c r="D2" s="73"/>
      <c r="E2" s="73"/>
      <c r="F2" s="73"/>
      <c r="G2" s="73"/>
    </row>
    <row r="3" spans="1:8" ht="26.4" thickBot="1" x14ac:dyDescent="0.35">
      <c r="A3" s="73"/>
      <c r="B3" s="73"/>
      <c r="C3" s="73"/>
      <c r="D3" s="73"/>
      <c r="E3" s="73"/>
      <c r="F3" s="73"/>
      <c r="G3" s="73"/>
    </row>
    <row r="4" spans="1:8" ht="55.2" customHeight="1" x14ac:dyDescent="0.3">
      <c r="A4" s="83" t="s">
        <v>33</v>
      </c>
      <c r="B4" s="82" t="s">
        <v>34</v>
      </c>
      <c r="C4" s="84" t="s">
        <v>0</v>
      </c>
      <c r="D4" s="84" t="s">
        <v>231</v>
      </c>
      <c r="E4" s="84" t="s">
        <v>741</v>
      </c>
      <c r="F4" s="82" t="s">
        <v>91</v>
      </c>
      <c r="G4" s="547" t="s">
        <v>743</v>
      </c>
      <c r="H4" s="92" t="s">
        <v>136</v>
      </c>
    </row>
    <row r="5" spans="1:8" ht="26.25" customHeight="1" x14ac:dyDescent="0.3">
      <c r="A5" s="69">
        <f t="shared" ref="A5:A26" si="0">A6+1</f>
        <v>24</v>
      </c>
      <c r="B5" s="86"/>
      <c r="C5" s="434"/>
      <c r="D5" s="434"/>
      <c r="E5" s="79"/>
      <c r="F5" s="79"/>
      <c r="G5" s="79"/>
      <c r="H5" s="194"/>
    </row>
    <row r="6" spans="1:8" ht="31.2" x14ac:dyDescent="0.3">
      <c r="A6" s="69">
        <f t="shared" si="0"/>
        <v>23</v>
      </c>
      <c r="B6" s="86" t="s">
        <v>777</v>
      </c>
      <c r="C6" s="433" t="s">
        <v>705</v>
      </c>
      <c r="D6" s="26" t="s">
        <v>723</v>
      </c>
      <c r="E6" s="514" t="s">
        <v>738</v>
      </c>
      <c r="F6" s="28" t="s">
        <v>42</v>
      </c>
      <c r="G6" s="79"/>
      <c r="H6" s="194"/>
    </row>
    <row r="7" spans="1:8" ht="26.25" customHeight="1" x14ac:dyDescent="0.3">
      <c r="A7" s="69">
        <f t="shared" si="0"/>
        <v>22</v>
      </c>
      <c r="B7" s="93" t="s">
        <v>773</v>
      </c>
      <c r="C7" s="433" t="s">
        <v>706</v>
      </c>
      <c r="D7" s="26" t="s">
        <v>724</v>
      </c>
      <c r="E7" s="514" t="s">
        <v>738</v>
      </c>
      <c r="F7" s="28" t="s">
        <v>42</v>
      </c>
      <c r="G7" s="79"/>
      <c r="H7" s="194"/>
    </row>
    <row r="8" spans="1:8" ht="31.2" x14ac:dyDescent="0.3">
      <c r="A8" s="69">
        <f t="shared" si="0"/>
        <v>21</v>
      </c>
      <c r="B8" s="96" t="s">
        <v>774</v>
      </c>
      <c r="C8" s="433" t="s">
        <v>707</v>
      </c>
      <c r="D8" s="26" t="s">
        <v>725</v>
      </c>
      <c r="E8" s="26"/>
      <c r="F8" s="28" t="s">
        <v>42</v>
      </c>
      <c r="G8" s="79"/>
      <c r="H8" s="194"/>
    </row>
    <row r="9" spans="1:8" ht="31.2" x14ac:dyDescent="0.3">
      <c r="A9" s="69">
        <f t="shared" si="0"/>
        <v>20</v>
      </c>
      <c r="B9" s="96" t="s">
        <v>183</v>
      </c>
      <c r="C9" s="525" t="s">
        <v>709</v>
      </c>
      <c r="D9" s="76" t="s">
        <v>727</v>
      </c>
      <c r="E9" s="521" t="s">
        <v>739</v>
      </c>
      <c r="F9" s="522" t="s">
        <v>42</v>
      </c>
      <c r="G9" s="79"/>
      <c r="H9" s="194"/>
    </row>
    <row r="10" spans="1:8" ht="15.6" x14ac:dyDescent="0.3">
      <c r="A10" s="69">
        <f t="shared" si="0"/>
        <v>19</v>
      </c>
      <c r="B10" s="86" t="s">
        <v>775</v>
      </c>
      <c r="C10" s="433" t="s">
        <v>711</v>
      </c>
      <c r="D10" s="26" t="s">
        <v>36</v>
      </c>
      <c r="E10" s="514" t="s">
        <v>738</v>
      </c>
      <c r="F10" s="28" t="s">
        <v>42</v>
      </c>
      <c r="G10" s="79"/>
      <c r="H10" s="194"/>
    </row>
    <row r="11" spans="1:8" ht="31.2" x14ac:dyDescent="0.3">
      <c r="A11" s="69">
        <f t="shared" si="0"/>
        <v>18</v>
      </c>
      <c r="B11" s="96" t="s">
        <v>774</v>
      </c>
      <c r="C11" s="433" t="s">
        <v>713</v>
      </c>
      <c r="D11" s="26" t="s">
        <v>729</v>
      </c>
      <c r="E11" s="514" t="s">
        <v>738</v>
      </c>
      <c r="F11" s="28" t="s">
        <v>42</v>
      </c>
      <c r="G11" s="79"/>
      <c r="H11" s="194"/>
    </row>
    <row r="12" spans="1:8" ht="15.6" x14ac:dyDescent="0.3">
      <c r="A12" s="69">
        <f t="shared" si="0"/>
        <v>17</v>
      </c>
      <c r="B12" s="86" t="s">
        <v>775</v>
      </c>
      <c r="C12" s="433" t="s">
        <v>714</v>
      </c>
      <c r="D12" s="26" t="s">
        <v>730</v>
      </c>
      <c r="E12" s="514" t="s">
        <v>738</v>
      </c>
      <c r="F12" s="28" t="s">
        <v>42</v>
      </c>
      <c r="G12" s="79"/>
      <c r="H12" s="194"/>
    </row>
    <row r="13" spans="1:8" ht="31.2" x14ac:dyDescent="0.3">
      <c r="A13" s="69">
        <f t="shared" si="0"/>
        <v>16</v>
      </c>
      <c r="B13" s="96" t="s">
        <v>776</v>
      </c>
      <c r="C13" s="433" t="s">
        <v>716</v>
      </c>
      <c r="D13" s="26" t="s">
        <v>732</v>
      </c>
      <c r="E13" s="514" t="s">
        <v>738</v>
      </c>
      <c r="F13" s="28" t="s">
        <v>42</v>
      </c>
      <c r="G13" s="79"/>
      <c r="H13" s="194"/>
    </row>
    <row r="14" spans="1:8" ht="31.2" x14ac:dyDescent="0.3">
      <c r="A14" s="69">
        <f t="shared" si="0"/>
        <v>15</v>
      </c>
      <c r="B14" s="86" t="str">
        <f>'Fiche Activité CIAU'!B1524</f>
        <v>Villa06/02-025/LT</v>
      </c>
      <c r="C14" s="525" t="s">
        <v>715</v>
      </c>
      <c r="D14" s="76" t="s">
        <v>731</v>
      </c>
      <c r="E14" s="521" t="s">
        <v>738</v>
      </c>
      <c r="F14" s="76" t="s">
        <v>42</v>
      </c>
      <c r="G14" s="436"/>
      <c r="H14" s="194"/>
    </row>
    <row r="15" spans="1:8" ht="15.6" x14ac:dyDescent="0.3">
      <c r="A15" s="69">
        <f t="shared" si="0"/>
        <v>14</v>
      </c>
      <c r="B15" s="86" t="str">
        <f>'Fiche Activité CIAU'!B1522</f>
        <v>US01/03-025/LT</v>
      </c>
      <c r="C15" s="525" t="s">
        <v>717</v>
      </c>
      <c r="D15" s="76" t="s">
        <v>733</v>
      </c>
      <c r="E15" s="521" t="s">
        <v>738</v>
      </c>
      <c r="F15" s="76" t="s">
        <v>42</v>
      </c>
      <c r="G15" s="79"/>
      <c r="H15" s="194"/>
    </row>
    <row r="16" spans="1:8" ht="31.2" x14ac:dyDescent="0.3">
      <c r="A16" s="69">
        <f t="shared" si="0"/>
        <v>13</v>
      </c>
      <c r="B16" s="450" t="s">
        <v>417</v>
      </c>
      <c r="C16" s="526" t="s">
        <v>478</v>
      </c>
      <c r="D16" s="518" t="s">
        <v>750</v>
      </c>
      <c r="E16" s="461"/>
      <c r="F16" s="461"/>
      <c r="G16" s="460"/>
      <c r="H16" s="460"/>
    </row>
    <row r="17" spans="1:8" ht="16.2" customHeight="1" x14ac:dyDescent="0.3">
      <c r="A17" s="69">
        <f t="shared" si="0"/>
        <v>12</v>
      </c>
      <c r="B17" s="86" t="s">
        <v>519</v>
      </c>
      <c r="C17" s="535" t="s">
        <v>712</v>
      </c>
      <c r="D17" s="28" t="s">
        <v>728</v>
      </c>
      <c r="E17" s="536" t="s">
        <v>740</v>
      </c>
      <c r="F17" s="28" t="s">
        <v>42</v>
      </c>
      <c r="G17" s="79"/>
      <c r="H17" s="194"/>
    </row>
    <row r="18" spans="1:8" ht="31.2" x14ac:dyDescent="0.3">
      <c r="A18" s="69">
        <f t="shared" si="0"/>
        <v>11</v>
      </c>
      <c r="B18" s="86" t="s">
        <v>522</v>
      </c>
      <c r="C18" s="535" t="s">
        <v>708</v>
      </c>
      <c r="D18" s="28" t="s">
        <v>726</v>
      </c>
      <c r="E18" s="536" t="s">
        <v>739</v>
      </c>
      <c r="F18" s="28" t="s">
        <v>42</v>
      </c>
      <c r="G18" s="79"/>
      <c r="H18" s="194"/>
    </row>
    <row r="19" spans="1:8" ht="15.6" x14ac:dyDescent="0.3">
      <c r="A19" s="69">
        <f t="shared" si="0"/>
        <v>10</v>
      </c>
      <c r="B19" s="86" t="s">
        <v>543</v>
      </c>
      <c r="C19" s="535" t="s">
        <v>710</v>
      </c>
      <c r="D19" s="26" t="s">
        <v>349</v>
      </c>
      <c r="E19" s="536" t="s">
        <v>739</v>
      </c>
      <c r="F19" s="28" t="s">
        <v>42</v>
      </c>
      <c r="G19" s="79"/>
      <c r="H19" s="194"/>
    </row>
    <row r="20" spans="1:8" ht="26.25" customHeight="1" x14ac:dyDescent="0.3">
      <c r="A20" s="69">
        <f t="shared" si="0"/>
        <v>9</v>
      </c>
      <c r="B20" s="86"/>
      <c r="C20" s="535"/>
      <c r="D20" s="28"/>
      <c r="E20" s="536"/>
      <c r="F20" s="28"/>
      <c r="G20" s="79"/>
      <c r="H20" s="194"/>
    </row>
    <row r="21" spans="1:8" ht="15.6" x14ac:dyDescent="0.3">
      <c r="A21" s="69">
        <f t="shared" si="0"/>
        <v>8</v>
      </c>
      <c r="B21" s="86" t="s">
        <v>775</v>
      </c>
      <c r="C21" s="527" t="s">
        <v>719</v>
      </c>
      <c r="D21" s="28" t="s">
        <v>735</v>
      </c>
      <c r="E21" s="88"/>
      <c r="F21" s="28" t="s">
        <v>742</v>
      </c>
      <c r="G21" s="79"/>
      <c r="H21" s="194"/>
    </row>
    <row r="22" spans="1:8" ht="15.6" x14ac:dyDescent="0.3">
      <c r="A22" s="69">
        <f t="shared" si="0"/>
        <v>7</v>
      </c>
      <c r="B22" s="86"/>
      <c r="C22" s="528" t="s">
        <v>720</v>
      </c>
      <c r="D22" s="26" t="s">
        <v>736</v>
      </c>
      <c r="E22" s="79"/>
      <c r="F22" s="26" t="s">
        <v>742</v>
      </c>
      <c r="G22" s="436"/>
      <c r="H22" s="194"/>
    </row>
    <row r="23" spans="1:8" ht="15.6" x14ac:dyDescent="0.3">
      <c r="A23" s="69">
        <f t="shared" si="0"/>
        <v>6</v>
      </c>
      <c r="B23" s="86" t="str">
        <f>'Fiche Activité CIAU'!B1521</f>
        <v>IR11/11-024/LT</v>
      </c>
      <c r="C23" s="520" t="str">
        <f>'Fiche Activité CIAU'!A1521</f>
        <v>Projet Grunitzky</v>
      </c>
      <c r="D23" s="80" t="s">
        <v>746</v>
      </c>
      <c r="E23" s="524"/>
      <c r="F23" s="26" t="s">
        <v>742</v>
      </c>
      <c r="G23" s="79"/>
      <c r="H23" s="194"/>
    </row>
    <row r="24" spans="1:8" ht="15.6" x14ac:dyDescent="0.3">
      <c r="A24" s="69">
        <f t="shared" si="0"/>
        <v>5</v>
      </c>
      <c r="B24" s="86" t="str">
        <f>'Fiche Activité CIAU'!B1511</f>
        <v>PNHG 03/01-2025</v>
      </c>
      <c r="C24" s="523" t="s">
        <v>718</v>
      </c>
      <c r="D24" s="522" t="s">
        <v>734</v>
      </c>
      <c r="E24" s="524"/>
      <c r="F24" s="522" t="s">
        <v>742</v>
      </c>
      <c r="G24" s="79"/>
      <c r="H24" s="194"/>
    </row>
    <row r="25" spans="1:8" ht="18" x14ac:dyDescent="0.3">
      <c r="A25" s="69">
        <f t="shared" si="0"/>
        <v>4</v>
      </c>
      <c r="B25" s="529" t="s">
        <v>248</v>
      </c>
      <c r="C25" s="523" t="s">
        <v>247</v>
      </c>
      <c r="D25" s="76"/>
      <c r="E25" s="524"/>
      <c r="F25" s="76" t="s">
        <v>742</v>
      </c>
      <c r="G25" s="460"/>
      <c r="H25" s="460"/>
    </row>
    <row r="26" spans="1:8" ht="31.2" x14ac:dyDescent="0.3">
      <c r="A26" s="69">
        <f t="shared" si="0"/>
        <v>3</v>
      </c>
      <c r="B26" s="548" t="e">
        <f>#REF!</f>
        <v>#REF!</v>
      </c>
      <c r="C26" s="537" t="s">
        <v>721</v>
      </c>
      <c r="D26" s="519" t="s">
        <v>737</v>
      </c>
      <c r="E26" s="538"/>
      <c r="F26" s="522" t="s">
        <v>742</v>
      </c>
      <c r="G26" s="59"/>
      <c r="H26" s="59"/>
    </row>
    <row r="27" spans="1:8" ht="26.25" customHeight="1" x14ac:dyDescent="0.3">
      <c r="A27" s="69">
        <f>A28+1</f>
        <v>2</v>
      </c>
      <c r="B27" s="69"/>
      <c r="C27" s="69"/>
      <c r="D27" s="69"/>
      <c r="E27" s="69"/>
      <c r="F27" s="69"/>
      <c r="G27" s="69"/>
      <c r="H27" s="69"/>
    </row>
    <row r="28" spans="1:8" ht="15.6" x14ac:dyDescent="0.3">
      <c r="A28" s="26">
        <v>1</v>
      </c>
      <c r="B28" s="26"/>
      <c r="C28" s="136" t="s">
        <v>722</v>
      </c>
      <c r="D28" s="26" t="s">
        <v>744</v>
      </c>
      <c r="E28" s="26"/>
      <c r="F28" s="26" t="s">
        <v>42</v>
      </c>
      <c r="G28" s="26" t="s">
        <v>745</v>
      </c>
      <c r="H28" s="26"/>
    </row>
    <row r="29" spans="1:8" ht="26.25" customHeight="1" x14ac:dyDescent="0.3">
      <c r="A29" s="28"/>
      <c r="B29" s="28"/>
      <c r="C29" s="546"/>
      <c r="D29" s="28"/>
      <c r="E29" s="28"/>
      <c r="F29" s="28"/>
      <c r="G29" s="28"/>
      <c r="H29" s="28"/>
    </row>
    <row r="30" spans="1:8" ht="26.25" customHeight="1" x14ac:dyDescent="0.3">
      <c r="A30" s="429" t="e">
        <f>#REF!-1</f>
        <v>#REF!</v>
      </c>
      <c r="B30" s="510" t="s">
        <v>350</v>
      </c>
      <c r="C30" s="511" t="s">
        <v>332</v>
      </c>
      <c r="D30" s="463"/>
      <c r="E30" s="461"/>
      <c r="F30" s="461"/>
      <c r="G30" s="460"/>
      <c r="H30" s="460"/>
    </row>
    <row r="31" spans="1:8" ht="26.25" customHeight="1" x14ac:dyDescent="0.3">
      <c r="A31" s="28"/>
      <c r="B31" s="28"/>
      <c r="C31" s="546"/>
      <c r="D31" s="28"/>
      <c r="E31" s="28"/>
      <c r="F31" s="28"/>
      <c r="G31" s="28"/>
      <c r="H31" s="28"/>
    </row>
    <row r="32" spans="1:8" ht="26.25" customHeight="1" x14ac:dyDescent="0.3">
      <c r="A32" s="28"/>
      <c r="B32" s="28"/>
      <c r="C32" s="546"/>
      <c r="D32" s="28"/>
      <c r="E32" s="28"/>
      <c r="F32" s="28"/>
      <c r="G32" s="28"/>
      <c r="H32" s="28"/>
    </row>
    <row r="33" spans="1:8" ht="26.25" customHeight="1" x14ac:dyDescent="0.3">
      <c r="A33" s="28"/>
      <c r="B33" s="28"/>
      <c r="C33" s="546"/>
      <c r="D33" s="28"/>
      <c r="E33" s="28"/>
      <c r="F33" s="28"/>
      <c r="G33" s="28"/>
      <c r="H33" s="28"/>
    </row>
    <row r="34" spans="1:8" ht="26.25" customHeight="1" x14ac:dyDescent="0.3">
      <c r="A34" s="28"/>
      <c r="B34" s="28"/>
      <c r="C34" s="546"/>
      <c r="D34" s="28"/>
      <c r="E34" s="28"/>
      <c r="F34" s="28"/>
      <c r="G34" s="28"/>
      <c r="H34" s="28"/>
    </row>
    <row r="35" spans="1:8" ht="26.25" customHeight="1" x14ac:dyDescent="0.3">
      <c r="A35" s="28"/>
      <c r="B35" s="28"/>
      <c r="C35" s="546"/>
      <c r="D35" s="28"/>
      <c r="E35" s="28"/>
      <c r="F35" s="28"/>
      <c r="G35" s="28"/>
      <c r="H35" s="28"/>
    </row>
    <row r="36" spans="1:8" ht="26.25" customHeight="1" x14ac:dyDescent="0.3"/>
    <row r="37" spans="1:8" ht="26.25" customHeight="1" x14ac:dyDescent="0.3">
      <c r="A37" s="550" t="s">
        <v>780</v>
      </c>
      <c r="B37" s="550"/>
      <c r="C37" s="550"/>
      <c r="D37" s="550"/>
      <c r="E37" s="550"/>
      <c r="F37" s="550"/>
      <c r="G37" s="550"/>
    </row>
    <row r="38" spans="1:8" ht="26.25" customHeight="1" thickBot="1" x14ac:dyDescent="0.35"/>
    <row r="39" spans="1:8" ht="18" x14ac:dyDescent="0.3">
      <c r="A39" s="83" t="s">
        <v>33</v>
      </c>
      <c r="B39" s="82" t="s">
        <v>34</v>
      </c>
      <c r="C39" s="84" t="s">
        <v>0</v>
      </c>
      <c r="D39" s="84" t="s">
        <v>231</v>
      </c>
      <c r="E39" s="84" t="s">
        <v>778</v>
      </c>
      <c r="F39" s="82" t="s">
        <v>91</v>
      </c>
      <c r="G39" s="92" t="s">
        <v>779</v>
      </c>
      <c r="H39" s="92" t="s">
        <v>136</v>
      </c>
    </row>
    <row r="40" spans="1:8" ht="26.25" customHeight="1" x14ac:dyDescent="0.3">
      <c r="A40" s="429" t="e">
        <f>#REF!-1</f>
        <v>#REF!</v>
      </c>
      <c r="B40" s="100" t="s">
        <v>153</v>
      </c>
      <c r="C40" s="108" t="s">
        <v>197</v>
      </c>
      <c r="D40" s="434"/>
      <c r="E40" s="435">
        <v>4000000</v>
      </c>
      <c r="F40" s="435"/>
      <c r="G40" s="90">
        <v>3500000</v>
      </c>
      <c r="H40" s="464"/>
    </row>
    <row r="41" spans="1:8" ht="26.25" customHeight="1" x14ac:dyDescent="0.3">
      <c r="A41" s="429" t="e">
        <f t="shared" ref="A41:A65" si="1">A40-1</f>
        <v>#REF!</v>
      </c>
      <c r="B41" s="93" t="s">
        <v>154</v>
      </c>
      <c r="C41" s="107" t="s">
        <v>93</v>
      </c>
      <c r="D41" s="434"/>
      <c r="E41" s="436">
        <v>42000000</v>
      </c>
      <c r="F41" s="436"/>
      <c r="G41" s="79">
        <v>32000000</v>
      </c>
      <c r="H41" s="465"/>
    </row>
    <row r="42" spans="1:8" ht="26.25" customHeight="1" x14ac:dyDescent="0.3">
      <c r="A42" s="429" t="e">
        <f t="shared" si="1"/>
        <v>#REF!</v>
      </c>
      <c r="B42" s="93" t="s">
        <v>155</v>
      </c>
      <c r="C42" s="107" t="s">
        <v>87</v>
      </c>
      <c r="D42" s="434"/>
      <c r="E42" s="436">
        <v>4000000</v>
      </c>
      <c r="F42" s="436"/>
      <c r="G42" s="80"/>
      <c r="H42" s="465"/>
    </row>
    <row r="43" spans="1:8" ht="26.25" customHeight="1" x14ac:dyDescent="0.3">
      <c r="A43" s="429" t="e">
        <f t="shared" si="1"/>
        <v>#REF!</v>
      </c>
      <c r="B43" s="93" t="s">
        <v>156</v>
      </c>
      <c r="C43" s="107" t="s">
        <v>88</v>
      </c>
      <c r="D43" s="434"/>
      <c r="E43" s="436">
        <v>750000</v>
      </c>
      <c r="F43" s="436"/>
      <c r="G43" s="79">
        <v>450000</v>
      </c>
      <c r="H43" s="465"/>
    </row>
    <row r="44" spans="1:8" ht="26.25" customHeight="1" x14ac:dyDescent="0.3">
      <c r="A44" s="429" t="e">
        <f t="shared" si="1"/>
        <v>#REF!</v>
      </c>
      <c r="B44" s="93" t="s">
        <v>157</v>
      </c>
      <c r="C44" s="107" t="s">
        <v>39</v>
      </c>
      <c r="D44" s="434"/>
      <c r="E44" s="437" t="s">
        <v>40</v>
      </c>
      <c r="F44" s="437"/>
      <c r="G44" s="80"/>
      <c r="H44" s="465"/>
    </row>
    <row r="45" spans="1:8" ht="26.25" customHeight="1" x14ac:dyDescent="0.3">
      <c r="A45" s="429" t="e">
        <f t="shared" si="1"/>
        <v>#REF!</v>
      </c>
      <c r="B45" s="93" t="s">
        <v>157</v>
      </c>
      <c r="C45" s="107" t="s">
        <v>89</v>
      </c>
      <c r="D45" s="434"/>
      <c r="E45" s="436">
        <v>1250000</v>
      </c>
      <c r="F45" s="436"/>
      <c r="G45" s="79">
        <v>1000000</v>
      </c>
      <c r="H45" s="465"/>
    </row>
    <row r="46" spans="1:8" ht="26.25" customHeight="1" x14ac:dyDescent="0.3">
      <c r="A46" s="429" t="e">
        <f t="shared" si="1"/>
        <v>#REF!</v>
      </c>
      <c r="B46" s="93" t="s">
        <v>153</v>
      </c>
      <c r="C46" s="107" t="s">
        <v>54</v>
      </c>
      <c r="D46" s="434"/>
      <c r="E46" s="436">
        <v>750000</v>
      </c>
      <c r="F46" s="436"/>
      <c r="G46" s="80">
        <v>0</v>
      </c>
      <c r="H46" s="465"/>
    </row>
    <row r="47" spans="1:8" ht="26.25" customHeight="1" x14ac:dyDescent="0.3">
      <c r="A47" s="429" t="e">
        <f t="shared" si="1"/>
        <v>#REF!</v>
      </c>
      <c r="B47" s="93" t="s">
        <v>157</v>
      </c>
      <c r="C47" s="107" t="s">
        <v>74</v>
      </c>
      <c r="D47" s="434"/>
      <c r="E47" s="436">
        <v>20000000</v>
      </c>
      <c r="F47" s="436"/>
      <c r="G47" s="80">
        <v>0</v>
      </c>
      <c r="H47" s="465"/>
    </row>
    <row r="48" spans="1:8" ht="26.25" customHeight="1" x14ac:dyDescent="0.3">
      <c r="A48" s="429" t="e">
        <f t="shared" si="1"/>
        <v>#REF!</v>
      </c>
      <c r="B48" s="93" t="s">
        <v>158</v>
      </c>
      <c r="C48" s="107" t="s">
        <v>55</v>
      </c>
      <c r="D48" s="434"/>
      <c r="E48" s="436">
        <v>1250000</v>
      </c>
      <c r="F48" s="436"/>
      <c r="G48" s="80">
        <v>0</v>
      </c>
      <c r="H48" s="465"/>
    </row>
    <row r="49" spans="1:8" ht="26.25" customHeight="1" x14ac:dyDescent="0.3">
      <c r="A49" s="429" t="e">
        <f t="shared" si="1"/>
        <v>#REF!</v>
      </c>
      <c r="B49" s="93" t="s">
        <v>157</v>
      </c>
      <c r="C49" s="107" t="s">
        <v>196</v>
      </c>
      <c r="D49" s="434"/>
      <c r="E49" s="436">
        <v>1750000</v>
      </c>
      <c r="F49" s="436"/>
      <c r="G49" s="80">
        <v>0</v>
      </c>
      <c r="H49" s="465"/>
    </row>
    <row r="50" spans="1:8" ht="26.25" customHeight="1" x14ac:dyDescent="0.3">
      <c r="A50" s="429" t="e">
        <f t="shared" si="1"/>
        <v>#REF!</v>
      </c>
      <c r="B50" s="93" t="s">
        <v>159</v>
      </c>
      <c r="C50" s="107" t="s">
        <v>43</v>
      </c>
      <c r="D50" s="434"/>
      <c r="E50" s="436">
        <v>250000</v>
      </c>
      <c r="F50" s="436"/>
      <c r="G50" s="80">
        <v>0</v>
      </c>
      <c r="H50" s="465"/>
    </row>
    <row r="51" spans="1:8" ht="26.25" customHeight="1" x14ac:dyDescent="0.3">
      <c r="A51" s="429" t="e">
        <f t="shared" si="1"/>
        <v>#REF!</v>
      </c>
      <c r="B51" s="93" t="s">
        <v>160</v>
      </c>
      <c r="C51" s="107" t="s">
        <v>113</v>
      </c>
      <c r="D51" s="434"/>
      <c r="E51" s="438" t="s">
        <v>44</v>
      </c>
      <c r="F51" s="438"/>
      <c r="G51" s="79">
        <v>3500000</v>
      </c>
      <c r="H51" s="465"/>
    </row>
    <row r="52" spans="1:8" ht="26.25" customHeight="1" x14ac:dyDescent="0.3">
      <c r="A52" s="429" t="e">
        <f t="shared" si="1"/>
        <v>#REF!</v>
      </c>
      <c r="B52" s="93" t="s">
        <v>161</v>
      </c>
      <c r="C52" s="107" t="s">
        <v>45</v>
      </c>
      <c r="D52" s="434"/>
      <c r="E52" s="436">
        <v>37500000</v>
      </c>
      <c r="F52" s="436"/>
      <c r="G52" s="79">
        <v>7750000</v>
      </c>
      <c r="H52" s="465"/>
    </row>
    <row r="53" spans="1:8" ht="26.25" customHeight="1" x14ac:dyDescent="0.3">
      <c r="A53" s="429" t="e">
        <f t="shared" si="1"/>
        <v>#REF!</v>
      </c>
      <c r="B53" s="93" t="s">
        <v>162</v>
      </c>
      <c r="C53" s="108" t="s">
        <v>66</v>
      </c>
      <c r="D53" s="434"/>
      <c r="E53" s="436" t="s">
        <v>139</v>
      </c>
      <c r="F53" s="436"/>
      <c r="G53" s="79"/>
      <c r="H53" s="465"/>
    </row>
    <row r="54" spans="1:8" ht="26.25" customHeight="1" x14ac:dyDescent="0.3">
      <c r="A54" s="429" t="e">
        <f t="shared" si="1"/>
        <v>#REF!</v>
      </c>
      <c r="B54" s="93" t="s">
        <v>163</v>
      </c>
      <c r="C54" s="107" t="s">
        <v>72</v>
      </c>
      <c r="D54" s="434"/>
      <c r="E54" s="436" t="s">
        <v>140</v>
      </c>
      <c r="F54" s="436"/>
      <c r="G54" s="79"/>
      <c r="H54" s="465"/>
    </row>
    <row r="55" spans="1:8" ht="32.4" customHeight="1" x14ac:dyDescent="0.3">
      <c r="A55" s="429" t="e">
        <f t="shared" si="1"/>
        <v>#REF!</v>
      </c>
      <c r="B55" s="93" t="s">
        <v>164</v>
      </c>
      <c r="C55" s="109" t="s">
        <v>90</v>
      </c>
      <c r="D55" s="445"/>
      <c r="E55" s="436">
        <v>51240000</v>
      </c>
      <c r="F55" s="436"/>
      <c r="G55" s="79">
        <v>16909200</v>
      </c>
      <c r="H55" s="465"/>
    </row>
    <row r="56" spans="1:8" ht="26.25" customHeight="1" x14ac:dyDescent="0.3">
      <c r="A56" s="429" t="e">
        <f t="shared" si="1"/>
        <v>#REF!</v>
      </c>
      <c r="B56" s="93" t="s">
        <v>165</v>
      </c>
      <c r="C56" s="107" t="s">
        <v>77</v>
      </c>
      <c r="D56" s="434"/>
      <c r="E56" s="436" t="s">
        <v>40</v>
      </c>
      <c r="F56" s="436"/>
      <c r="G56" s="79"/>
      <c r="H56" s="465"/>
    </row>
    <row r="57" spans="1:8" ht="26.25" customHeight="1" x14ac:dyDescent="0.3">
      <c r="A57" s="429" t="e">
        <f t="shared" si="1"/>
        <v>#REF!</v>
      </c>
      <c r="B57" s="93" t="s">
        <v>166</v>
      </c>
      <c r="C57" s="107" t="s">
        <v>78</v>
      </c>
      <c r="D57" s="434"/>
      <c r="E57" s="439">
        <v>550000</v>
      </c>
      <c r="F57" s="439"/>
      <c r="G57" s="79"/>
      <c r="H57" s="465"/>
    </row>
    <row r="58" spans="1:8" ht="26.25" customHeight="1" x14ac:dyDescent="0.3">
      <c r="A58" s="429" t="e">
        <f t="shared" si="1"/>
        <v>#REF!</v>
      </c>
      <c r="B58" s="94" t="s">
        <v>167</v>
      </c>
      <c r="C58" s="108" t="s">
        <v>108</v>
      </c>
      <c r="D58" s="434"/>
      <c r="E58" s="440" t="s">
        <v>139</v>
      </c>
      <c r="F58" s="440"/>
      <c r="G58" s="90"/>
      <c r="H58" s="464"/>
    </row>
    <row r="59" spans="1:8" ht="26.25" customHeight="1" x14ac:dyDescent="0.3">
      <c r="A59" s="429" t="e">
        <f t="shared" si="1"/>
        <v>#REF!</v>
      </c>
      <c r="B59" s="94" t="s">
        <v>168</v>
      </c>
      <c r="C59" s="108" t="s">
        <v>110</v>
      </c>
      <c r="D59" s="434"/>
      <c r="E59" s="440" t="s">
        <v>40</v>
      </c>
      <c r="F59" s="440"/>
      <c r="G59" s="90"/>
      <c r="H59" s="465"/>
    </row>
    <row r="60" spans="1:8" ht="26.25" customHeight="1" x14ac:dyDescent="0.3">
      <c r="A60" s="429" t="e">
        <f t="shared" si="1"/>
        <v>#REF!</v>
      </c>
      <c r="B60" s="94" t="s">
        <v>169</v>
      </c>
      <c r="C60" s="108" t="s">
        <v>124</v>
      </c>
      <c r="D60" s="434"/>
      <c r="E60" s="440">
        <v>4800000</v>
      </c>
      <c r="F60" s="440"/>
      <c r="G60" s="90">
        <v>0</v>
      </c>
      <c r="H60" s="465" t="s">
        <v>79</v>
      </c>
    </row>
    <row r="61" spans="1:8" ht="26.25" customHeight="1" x14ac:dyDescent="0.3">
      <c r="A61" s="429" t="e">
        <f t="shared" si="1"/>
        <v>#REF!</v>
      </c>
      <c r="B61" s="94" t="s">
        <v>169</v>
      </c>
      <c r="C61" s="108" t="s">
        <v>141</v>
      </c>
      <c r="D61" s="434"/>
      <c r="E61" s="440" t="s">
        <v>142</v>
      </c>
      <c r="F61" s="440"/>
      <c r="G61" s="90"/>
      <c r="H61" s="465"/>
    </row>
    <row r="62" spans="1:8" ht="26.25" customHeight="1" x14ac:dyDescent="0.3">
      <c r="A62" s="429" t="e">
        <f t="shared" si="1"/>
        <v>#REF!</v>
      </c>
      <c r="B62" s="122" t="s">
        <v>153</v>
      </c>
      <c r="C62" s="119" t="s">
        <v>204</v>
      </c>
      <c r="D62" s="434"/>
      <c r="E62" s="441">
        <v>1500000</v>
      </c>
      <c r="F62" s="441"/>
      <c r="G62" s="120"/>
      <c r="H62" s="466"/>
    </row>
    <row r="63" spans="1:8" ht="26.25" customHeight="1" x14ac:dyDescent="0.3">
      <c r="A63" s="429" t="e">
        <f t="shared" si="1"/>
        <v>#REF!</v>
      </c>
      <c r="B63" s="113" t="s">
        <v>198</v>
      </c>
      <c r="C63" s="107" t="s">
        <v>199</v>
      </c>
      <c r="D63" s="434"/>
      <c r="E63" s="439">
        <v>20000000</v>
      </c>
      <c r="F63" s="439"/>
      <c r="G63" s="79"/>
      <c r="H63" s="465"/>
    </row>
    <row r="64" spans="1:8" ht="26.25" customHeight="1" x14ac:dyDescent="0.3">
      <c r="A64" s="429" t="e">
        <f t="shared" si="1"/>
        <v>#REF!</v>
      </c>
      <c r="B64" s="124" t="s">
        <v>198</v>
      </c>
      <c r="C64" s="123" t="s">
        <v>200</v>
      </c>
      <c r="D64" s="434"/>
      <c r="E64" s="442">
        <v>17000000</v>
      </c>
      <c r="F64" s="442"/>
      <c r="G64" s="88"/>
      <c r="H64" s="466"/>
    </row>
    <row r="65" spans="1:8" ht="26.25" customHeight="1" x14ac:dyDescent="0.3">
      <c r="A65" s="429" t="e">
        <f t="shared" si="1"/>
        <v>#REF!</v>
      </c>
      <c r="B65" s="113" t="s">
        <v>203</v>
      </c>
      <c r="C65" s="107" t="s">
        <v>748</v>
      </c>
      <c r="D65" s="434"/>
      <c r="E65" s="439"/>
      <c r="F65" s="439"/>
      <c r="G65" s="79"/>
      <c r="H65" s="465" t="s">
        <v>79</v>
      </c>
    </row>
    <row r="867" spans="3:6" x14ac:dyDescent="0.3">
      <c r="C867" s="45"/>
      <c r="D867" s="45"/>
      <c r="E867" s="45"/>
      <c r="F867" s="45"/>
    </row>
  </sheetData>
  <mergeCells count="2">
    <mergeCell ref="A1:G1"/>
    <mergeCell ref="A37:G37"/>
  </mergeCells>
  <pageMargins left="0.70866141732283472" right="0.70866141732283472" top="0.74803149606299213" bottom="0.74803149606299213" header="0.31496062992125984" footer="0.31496062992125984"/>
  <pageSetup paperSize="9"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9174-FD37-4E21-A5E4-63688AF8BDFB}">
  <dimension ref="A2:F745"/>
  <sheetViews>
    <sheetView topLeftCell="A703" zoomScale="55" zoomScaleNormal="55" workbookViewId="0">
      <selection activeCell="F745" sqref="F745"/>
    </sheetView>
  </sheetViews>
  <sheetFormatPr baseColWidth="10" defaultRowHeight="14.4" x14ac:dyDescent="0.3"/>
  <cols>
    <col min="1" max="1" width="7.109375" customWidth="1"/>
    <col min="2" max="2" width="39.21875" customWidth="1"/>
    <col min="3" max="3" width="15.6640625" customWidth="1"/>
    <col min="4" max="4" width="48.44140625" customWidth="1"/>
    <col min="5" max="5" width="68.44140625" customWidth="1"/>
    <col min="6" max="6" width="18.6640625" customWidth="1"/>
  </cols>
  <sheetData>
    <row r="2" spans="1:4" ht="15.6" x14ac:dyDescent="0.3">
      <c r="A2" s="10"/>
      <c r="B2" s="545" t="s">
        <v>16</v>
      </c>
      <c r="C2" s="545"/>
      <c r="D2" s="28"/>
    </row>
    <row r="3" spans="1:4" ht="15.6" x14ac:dyDescent="0.3">
      <c r="A3" s="11"/>
      <c r="B3" s="28" t="s">
        <v>14</v>
      </c>
      <c r="C3" s="28"/>
      <c r="D3" s="28" t="s">
        <v>193</v>
      </c>
    </row>
    <row r="4" spans="1:4" ht="15.6" x14ac:dyDescent="0.3">
      <c r="A4" s="11"/>
      <c r="B4" s="28" t="s">
        <v>8</v>
      </c>
      <c r="C4" s="28"/>
      <c r="D4" s="28" t="s">
        <v>221</v>
      </c>
    </row>
    <row r="5" spans="1:4" ht="15.6" x14ac:dyDescent="0.3">
      <c r="A5" s="11"/>
      <c r="B5" s="28" t="s">
        <v>10</v>
      </c>
      <c r="C5" s="28"/>
      <c r="D5" s="28" t="s">
        <v>222</v>
      </c>
    </row>
    <row r="6" spans="1:4" ht="15.6" x14ac:dyDescent="0.3">
      <c r="A6" s="11"/>
      <c r="B6" s="28" t="s">
        <v>12</v>
      </c>
      <c r="C6" s="28"/>
      <c r="D6" s="28" t="s">
        <v>223</v>
      </c>
    </row>
    <row r="7" spans="1:4" ht="15.6" x14ac:dyDescent="0.3">
      <c r="A7" s="11"/>
      <c r="B7" s="28" t="s">
        <v>11</v>
      </c>
      <c r="C7" s="28"/>
      <c r="D7" s="28" t="s">
        <v>224</v>
      </c>
    </row>
    <row r="8" spans="1:4" ht="15.6" x14ac:dyDescent="0.3">
      <c r="A8" s="11"/>
      <c r="B8" s="28" t="s">
        <v>13</v>
      </c>
      <c r="C8" s="28"/>
      <c r="D8" s="28" t="s">
        <v>192</v>
      </c>
    </row>
    <row r="9" spans="1:4" ht="15.6" x14ac:dyDescent="0.3">
      <c r="A9" s="11"/>
      <c r="B9" s="28" t="s">
        <v>15</v>
      </c>
      <c r="C9" s="28"/>
      <c r="D9" s="28" t="s">
        <v>775</v>
      </c>
    </row>
    <row r="10" spans="1:4" x14ac:dyDescent="0.3">
      <c r="A10" s="11"/>
      <c r="B10" s="11"/>
      <c r="C10" s="11"/>
      <c r="D10" s="11"/>
    </row>
    <row r="11" spans="1:4" x14ac:dyDescent="0.3">
      <c r="A11" s="11"/>
      <c r="B11" s="11"/>
      <c r="C11" s="11"/>
      <c r="D11" s="11"/>
    </row>
    <row r="12" spans="1:4" x14ac:dyDescent="0.3">
      <c r="A12" s="11"/>
      <c r="B12" s="11"/>
      <c r="C12" s="11"/>
      <c r="D12" s="11"/>
    </row>
    <row r="13" spans="1:4" x14ac:dyDescent="0.3">
      <c r="A13" s="11"/>
      <c r="B13" s="11"/>
      <c r="C13" s="11"/>
      <c r="D13" s="11"/>
    </row>
    <row r="14" spans="1:4" x14ac:dyDescent="0.3">
      <c r="A14" s="11"/>
      <c r="B14" s="11"/>
      <c r="C14" s="11"/>
      <c r="D14" s="11"/>
    </row>
    <row r="15" spans="1:4" x14ac:dyDescent="0.3">
      <c r="A15" s="11"/>
      <c r="B15" s="11"/>
      <c r="C15" s="11"/>
      <c r="D15" s="11"/>
    </row>
    <row r="17" spans="1:6" ht="28.8" x14ac:dyDescent="0.55000000000000004">
      <c r="B17" s="571" t="s">
        <v>58</v>
      </c>
      <c r="C17" s="571"/>
      <c r="D17" s="571"/>
      <c r="E17" s="571"/>
    </row>
    <row r="18" spans="1:6" ht="28.8" x14ac:dyDescent="0.55000000000000004">
      <c r="B18" s="55"/>
      <c r="C18" s="55"/>
      <c r="D18" s="55"/>
      <c r="E18" s="55"/>
    </row>
    <row r="19" spans="1:6" ht="25.8" x14ac:dyDescent="0.3">
      <c r="A19" s="194">
        <v>3</v>
      </c>
      <c r="D19" s="58" t="s">
        <v>59</v>
      </c>
      <c r="E19" s="57" t="s">
        <v>234</v>
      </c>
      <c r="F19" s="200"/>
    </row>
    <row r="20" spans="1:6" ht="23.4" x14ac:dyDescent="0.4">
      <c r="B20" s="14"/>
      <c r="C20" s="14"/>
      <c r="D20" s="559"/>
      <c r="E20" s="559"/>
    </row>
    <row r="21" spans="1:6" ht="15" thickBot="1" x14ac:dyDescent="0.35"/>
    <row r="22" spans="1:6" ht="18.600000000000001" thickBot="1" x14ac:dyDescent="0.35">
      <c r="A22" s="542" t="s">
        <v>33</v>
      </c>
      <c r="B22" s="560" t="s">
        <v>17</v>
      </c>
      <c r="C22" s="561"/>
      <c r="D22" s="562"/>
      <c r="E22" s="563" t="s">
        <v>21</v>
      </c>
      <c r="F22" s="564"/>
    </row>
    <row r="23" spans="1:6" ht="140.4" customHeight="1" x14ac:dyDescent="0.3">
      <c r="B23" s="165" t="s">
        <v>18</v>
      </c>
      <c r="C23" s="168"/>
      <c r="D23" s="160" t="s">
        <v>228</v>
      </c>
      <c r="E23" s="44"/>
      <c r="F23" s="140"/>
    </row>
    <row r="24" spans="1:6" ht="16.2" customHeight="1" x14ac:dyDescent="0.3">
      <c r="B24" s="152" t="s">
        <v>19</v>
      </c>
      <c r="C24" s="173"/>
      <c r="D24" s="26" t="s">
        <v>229</v>
      </c>
      <c r="E24" s="139"/>
      <c r="F24" s="101"/>
    </row>
    <row r="25" spans="1:6" ht="15.6" x14ac:dyDescent="0.3">
      <c r="B25" s="30" t="s">
        <v>20</v>
      </c>
      <c r="C25" s="41"/>
      <c r="D25" s="26"/>
      <c r="E25" s="139"/>
      <c r="F25" s="101"/>
    </row>
    <row r="26" spans="1:6" ht="15.6" x14ac:dyDescent="0.3">
      <c r="B26" s="30"/>
      <c r="C26" s="41"/>
      <c r="D26" s="26"/>
      <c r="E26" s="28"/>
      <c r="F26" s="24"/>
    </row>
    <row r="27" spans="1:6" ht="15.6" x14ac:dyDescent="0.3">
      <c r="B27" s="166"/>
      <c r="C27" s="32"/>
      <c r="D27" s="144"/>
      <c r="E27" s="28"/>
      <c r="F27" s="24"/>
    </row>
    <row r="28" spans="1:6" ht="15.6" x14ac:dyDescent="0.3">
      <c r="B28" s="572" t="s">
        <v>339</v>
      </c>
      <c r="C28" s="573"/>
      <c r="D28" s="573"/>
      <c r="E28" s="32"/>
      <c r="F28" s="24"/>
    </row>
    <row r="29" spans="1:6" ht="15.6" x14ac:dyDescent="0.3">
      <c r="B29" s="568" t="s">
        <v>227</v>
      </c>
      <c r="C29" s="569"/>
      <c r="D29" s="569"/>
      <c r="E29" s="570"/>
      <c r="F29" s="24"/>
    </row>
    <row r="30" spans="1:6" x14ac:dyDescent="0.3">
      <c r="B30" s="574" t="s">
        <v>230</v>
      </c>
      <c r="C30" s="575"/>
      <c r="D30" s="575"/>
      <c r="E30" s="576"/>
      <c r="F30" s="24"/>
    </row>
    <row r="31" spans="1:6" x14ac:dyDescent="0.3">
      <c r="B31" s="577" t="s">
        <v>359</v>
      </c>
      <c r="C31" s="578"/>
      <c r="D31" s="578"/>
      <c r="E31" s="579"/>
      <c r="F31" s="24"/>
    </row>
    <row r="32" spans="1:6" x14ac:dyDescent="0.3">
      <c r="B32" s="13"/>
      <c r="C32" s="169"/>
      <c r="D32" s="12"/>
      <c r="E32" s="12"/>
      <c r="F32" s="15"/>
    </row>
    <row r="33" spans="2:6" ht="18" x14ac:dyDescent="0.3">
      <c r="B33" s="554" t="s">
        <v>22</v>
      </c>
      <c r="C33" s="555"/>
      <c r="D33" s="556"/>
      <c r="E33" s="557" t="s">
        <v>28</v>
      </c>
      <c r="F33" s="558"/>
    </row>
    <row r="34" spans="2:6" ht="15.6" x14ac:dyDescent="0.3">
      <c r="B34" s="31" t="s">
        <v>23</v>
      </c>
      <c r="C34" s="170"/>
      <c r="D34" s="32"/>
      <c r="E34" s="33" t="s">
        <v>367</v>
      </c>
      <c r="F34" s="34" t="s">
        <v>37</v>
      </c>
    </row>
    <row r="35" spans="2:6" ht="15.6" x14ac:dyDescent="0.3">
      <c r="B35" s="1" t="s">
        <v>360</v>
      </c>
      <c r="C35" s="28"/>
      <c r="D35" s="36" t="s">
        <v>368</v>
      </c>
      <c r="E35" s="204" t="s">
        <v>352</v>
      </c>
      <c r="F35" s="205">
        <v>8500000</v>
      </c>
    </row>
    <row r="36" spans="2:6" ht="3.6" customHeight="1" x14ac:dyDescent="0.3">
      <c r="B36" s="1" t="s">
        <v>361</v>
      </c>
      <c r="C36" s="28"/>
      <c r="D36" s="36" t="s">
        <v>368</v>
      </c>
      <c r="E36" s="204" t="s">
        <v>353</v>
      </c>
      <c r="F36" s="205">
        <v>10000000</v>
      </c>
    </row>
    <row r="37" spans="2:6" ht="15.6" hidden="1" x14ac:dyDescent="0.3">
      <c r="B37" s="1" t="s">
        <v>362</v>
      </c>
      <c r="C37" s="28"/>
      <c r="D37" s="36" t="s">
        <v>368</v>
      </c>
      <c r="E37" s="206" t="s">
        <v>354</v>
      </c>
      <c r="F37" s="205">
        <v>5000000</v>
      </c>
    </row>
    <row r="38" spans="2:6" ht="15.6" hidden="1" x14ac:dyDescent="0.3">
      <c r="B38" s="1" t="s">
        <v>363</v>
      </c>
      <c r="C38" s="28"/>
      <c r="D38" s="36" t="s">
        <v>368</v>
      </c>
      <c r="E38" s="202" t="s">
        <v>355</v>
      </c>
      <c r="F38" s="201">
        <v>9000000</v>
      </c>
    </row>
    <row r="39" spans="2:6" ht="15.6" hidden="1" x14ac:dyDescent="0.3">
      <c r="B39" s="1" t="s">
        <v>364</v>
      </c>
      <c r="C39" s="28"/>
      <c r="D39" s="36"/>
      <c r="E39" s="26" t="s">
        <v>356</v>
      </c>
      <c r="F39" s="201">
        <v>5000000</v>
      </c>
    </row>
    <row r="40" spans="2:6" ht="16.2" thickBot="1" x14ac:dyDescent="0.35">
      <c r="B40" s="1" t="s">
        <v>365</v>
      </c>
      <c r="C40" s="28"/>
      <c r="D40" s="36"/>
      <c r="E40" s="69" t="s">
        <v>357</v>
      </c>
      <c r="F40" s="203">
        <v>15000000</v>
      </c>
    </row>
    <row r="41" spans="2:6" ht="15.6" x14ac:dyDescent="0.3">
      <c r="B41" s="1" t="s">
        <v>366</v>
      </c>
      <c r="C41" s="28"/>
      <c r="D41" s="36"/>
      <c r="E41" s="202" t="s">
        <v>358</v>
      </c>
      <c r="F41" s="201">
        <f>SUM(F35:F40)</f>
        <v>52500000</v>
      </c>
    </row>
    <row r="42" spans="2:6" ht="15.6" x14ac:dyDescent="0.3">
      <c r="B42" s="35"/>
      <c r="C42" s="28"/>
      <c r="D42" s="36"/>
      <c r="E42" s="202"/>
      <c r="F42" s="201"/>
    </row>
    <row r="43" spans="2:6" ht="15.6" x14ac:dyDescent="0.3">
      <c r="B43" s="35"/>
      <c r="C43" s="28"/>
      <c r="D43" s="36"/>
      <c r="E43" s="28"/>
      <c r="F43" s="27"/>
    </row>
    <row r="44" spans="2:6" ht="15.6" x14ac:dyDescent="0.3">
      <c r="B44" s="35"/>
      <c r="C44" s="28"/>
      <c r="D44" s="36"/>
      <c r="E44" s="28"/>
      <c r="F44" s="27"/>
    </row>
    <row r="45" spans="2:6" ht="15.6" x14ac:dyDescent="0.3">
      <c r="B45" s="35"/>
      <c r="C45" s="28"/>
      <c r="D45" s="36"/>
      <c r="E45" s="28"/>
      <c r="F45" s="27"/>
    </row>
    <row r="46" spans="2:6" ht="15.6" x14ac:dyDescent="0.3">
      <c r="B46" s="35"/>
      <c r="C46" s="28"/>
      <c r="D46" s="36"/>
      <c r="E46" s="28"/>
      <c r="F46" s="27"/>
    </row>
    <row r="47" spans="2:6" ht="15.6" x14ac:dyDescent="0.3">
      <c r="B47" s="38"/>
      <c r="C47" s="171"/>
      <c r="D47" s="39"/>
      <c r="E47" s="28"/>
      <c r="F47" s="27"/>
    </row>
    <row r="48" spans="2:6" ht="15.6" x14ac:dyDescent="0.3">
      <c r="B48" s="40" t="s">
        <v>27</v>
      </c>
      <c r="C48" s="172"/>
      <c r="D48" s="41"/>
      <c r="E48" s="42"/>
      <c r="F48" s="27"/>
    </row>
    <row r="49" spans="1:6" ht="15.6" x14ac:dyDescent="0.3">
      <c r="B49" s="31"/>
      <c r="C49" s="170"/>
      <c r="D49" s="32"/>
      <c r="E49" s="28"/>
      <c r="F49" s="43"/>
    </row>
    <row r="50" spans="1:6" ht="15" thickBot="1" x14ac:dyDescent="0.35">
      <c r="B50" s="3"/>
      <c r="C50" s="4"/>
      <c r="D50" s="9"/>
      <c r="E50" s="4"/>
      <c r="F50" s="25"/>
    </row>
    <row r="54" spans="1:6" ht="28.8" x14ac:dyDescent="0.55000000000000004">
      <c r="B54" s="571" t="s">
        <v>58</v>
      </c>
      <c r="C54" s="571"/>
      <c r="D54" s="571"/>
      <c r="E54" s="571"/>
    </row>
    <row r="55" spans="1:6" ht="28.8" x14ac:dyDescent="0.55000000000000004">
      <c r="B55" s="55"/>
      <c r="C55" s="55"/>
      <c r="D55" s="55"/>
      <c r="E55" s="55"/>
    </row>
    <row r="56" spans="1:6" ht="25.8" x14ac:dyDescent="0.3">
      <c r="A56" s="194">
        <v>4</v>
      </c>
      <c r="D56" s="58" t="s">
        <v>59</v>
      </c>
      <c r="E56" s="57" t="str">
        <f>'Liste de projets '!B25</f>
        <v>IAF15/01-2023/LT</v>
      </c>
    </row>
    <row r="57" spans="1:6" ht="23.4" x14ac:dyDescent="0.4">
      <c r="B57" s="14"/>
      <c r="C57" s="14"/>
      <c r="D57" s="559"/>
      <c r="E57" s="559"/>
    </row>
    <row r="58" spans="1:6" ht="15" thickBot="1" x14ac:dyDescent="0.35"/>
    <row r="59" spans="1:6" ht="18.600000000000001" thickBot="1" x14ac:dyDescent="0.35">
      <c r="A59" s="542" t="s">
        <v>33</v>
      </c>
      <c r="B59" s="560" t="s">
        <v>17</v>
      </c>
      <c r="C59" s="561"/>
      <c r="D59" s="562"/>
      <c r="E59" s="563" t="s">
        <v>21</v>
      </c>
      <c r="F59" s="564"/>
    </row>
    <row r="60" spans="1:6" ht="15.6" x14ac:dyDescent="0.3">
      <c r="B60" s="165" t="s">
        <v>18</v>
      </c>
      <c r="C60" s="168"/>
      <c r="D60" s="160" t="e">
        <f>'Fiche Activité CIAU'!#REF!</f>
        <v>#REF!</v>
      </c>
      <c r="E60" s="44"/>
      <c r="F60" s="140"/>
    </row>
    <row r="61" spans="1:6" ht="15.6" x14ac:dyDescent="0.3">
      <c r="B61" s="30" t="s">
        <v>19</v>
      </c>
      <c r="C61" s="41"/>
      <c r="D61" s="26" t="s">
        <v>229</v>
      </c>
      <c r="E61" s="139"/>
      <c r="F61" s="101"/>
    </row>
    <row r="62" spans="1:6" ht="15.6" x14ac:dyDescent="0.3">
      <c r="B62" s="30" t="s">
        <v>20</v>
      </c>
      <c r="C62" s="41"/>
      <c r="D62" s="26"/>
      <c r="E62" s="139"/>
      <c r="F62" s="101"/>
    </row>
    <row r="63" spans="1:6" ht="15.6" x14ac:dyDescent="0.3">
      <c r="B63" s="30"/>
      <c r="C63" s="41"/>
      <c r="D63" s="26"/>
      <c r="E63" s="28"/>
      <c r="F63" s="24"/>
    </row>
    <row r="64" spans="1:6" ht="15.6" x14ac:dyDescent="0.3">
      <c r="B64" s="30"/>
      <c r="C64" s="41"/>
      <c r="D64" s="26"/>
      <c r="E64" s="28"/>
      <c r="F64" s="24"/>
    </row>
    <row r="65" spans="2:6" ht="15.6" x14ac:dyDescent="0.3">
      <c r="B65" s="565" t="s">
        <v>32</v>
      </c>
      <c r="C65" s="566"/>
      <c r="D65" s="567"/>
      <c r="E65" s="28"/>
      <c r="F65" s="24"/>
    </row>
    <row r="66" spans="2:6" ht="15.6" x14ac:dyDescent="0.3">
      <c r="B66" s="31" t="s">
        <v>226</v>
      </c>
      <c r="C66" s="170"/>
      <c r="D66" s="32"/>
      <c r="E66" s="28"/>
      <c r="F66" s="24"/>
    </row>
    <row r="67" spans="2:6" x14ac:dyDescent="0.3">
      <c r="B67" s="1"/>
      <c r="D67" s="8"/>
      <c r="F67" s="24"/>
    </row>
    <row r="68" spans="2:6" x14ac:dyDescent="0.3">
      <c r="B68" s="1"/>
      <c r="D68" s="8"/>
      <c r="F68" s="24"/>
    </row>
    <row r="69" spans="2:6" x14ac:dyDescent="0.3">
      <c r="B69" s="1"/>
      <c r="D69" s="8"/>
      <c r="F69" s="24"/>
    </row>
    <row r="70" spans="2:6" x14ac:dyDescent="0.3">
      <c r="B70" s="1"/>
      <c r="D70" s="8"/>
      <c r="F70" s="24"/>
    </row>
    <row r="71" spans="2:6" x14ac:dyDescent="0.3">
      <c r="B71" s="13"/>
      <c r="C71" s="169"/>
      <c r="D71" s="12"/>
      <c r="F71" s="15"/>
    </row>
    <row r="72" spans="2:6" ht="18" x14ac:dyDescent="0.3">
      <c r="B72" s="554" t="s">
        <v>22</v>
      </c>
      <c r="C72" s="555"/>
      <c r="D72" s="556"/>
      <c r="E72" s="557" t="s">
        <v>28</v>
      </c>
      <c r="F72" s="558"/>
    </row>
    <row r="73" spans="2:6" ht="15.6" x14ac:dyDescent="0.3">
      <c r="B73" s="31" t="s">
        <v>23</v>
      </c>
      <c r="C73" s="170"/>
      <c r="D73" s="32"/>
      <c r="E73" s="33" t="s">
        <v>29</v>
      </c>
      <c r="F73" s="34" t="s">
        <v>37</v>
      </c>
    </row>
    <row r="74" spans="2:6" ht="15.6" x14ac:dyDescent="0.3">
      <c r="B74" s="35" t="s">
        <v>24</v>
      </c>
      <c r="C74" s="28"/>
      <c r="D74" s="36" t="s">
        <v>41</v>
      </c>
      <c r="E74" s="26" t="s">
        <v>38</v>
      </c>
      <c r="F74" s="37"/>
    </row>
    <row r="75" spans="2:6" ht="15.6" x14ac:dyDescent="0.3">
      <c r="B75" s="35" t="s">
        <v>25</v>
      </c>
      <c r="C75" s="28"/>
      <c r="D75" s="36"/>
      <c r="E75" s="26" t="s">
        <v>30</v>
      </c>
      <c r="F75" s="27"/>
    </row>
    <row r="76" spans="2:6" ht="15.6" x14ac:dyDescent="0.3">
      <c r="B76" s="35" t="s">
        <v>26</v>
      </c>
      <c r="C76" s="28"/>
      <c r="D76" s="36"/>
      <c r="E76" s="26" t="s">
        <v>31</v>
      </c>
      <c r="F76" s="27"/>
    </row>
    <row r="77" spans="2:6" ht="15.6" x14ac:dyDescent="0.3">
      <c r="B77" s="35"/>
      <c r="C77" s="28"/>
      <c r="D77" s="36"/>
      <c r="E77" s="26"/>
      <c r="F77" s="27"/>
    </row>
    <row r="78" spans="2:6" ht="15.6" x14ac:dyDescent="0.3">
      <c r="B78" s="38"/>
      <c r="C78" s="171"/>
      <c r="D78" s="39"/>
      <c r="E78" s="28"/>
      <c r="F78" s="27"/>
    </row>
    <row r="79" spans="2:6" ht="15.6" x14ac:dyDescent="0.3">
      <c r="B79" s="40" t="s">
        <v>27</v>
      </c>
      <c r="C79" s="172"/>
      <c r="D79" s="41"/>
      <c r="E79" s="42"/>
      <c r="F79" s="27"/>
    </row>
    <row r="80" spans="2:6" ht="15.6" x14ac:dyDescent="0.3">
      <c r="B80" s="31"/>
      <c r="C80" s="170"/>
      <c r="D80" s="32"/>
      <c r="E80" s="28"/>
      <c r="F80" s="43"/>
    </row>
    <row r="81" spans="1:6" ht="15" thickBot="1" x14ac:dyDescent="0.35">
      <c r="B81" s="3"/>
      <c r="C81" s="4"/>
      <c r="D81" s="9"/>
      <c r="E81" s="4"/>
      <c r="F81" s="25"/>
    </row>
    <row r="85" spans="1:6" ht="28.8" x14ac:dyDescent="0.55000000000000004">
      <c r="B85" s="571" t="s">
        <v>58</v>
      </c>
      <c r="C85" s="571"/>
      <c r="D85" s="571"/>
      <c r="E85" s="571"/>
    </row>
    <row r="91" spans="1:6" ht="25.8" x14ac:dyDescent="0.3">
      <c r="A91" s="69">
        <v>5</v>
      </c>
      <c r="D91" s="58" t="s">
        <v>59</v>
      </c>
      <c r="E91" s="57" t="str">
        <f>'Liste de projets '!B24</f>
        <v>PNHG 03/01-2025</v>
      </c>
    </row>
    <row r="92" spans="1:6" ht="25.8" x14ac:dyDescent="0.3">
      <c r="D92" s="58"/>
      <c r="E92" s="57"/>
    </row>
    <row r="93" spans="1:6" ht="15" thickBot="1" x14ac:dyDescent="0.35"/>
    <row r="94" spans="1:6" ht="18.600000000000001" thickBot="1" x14ac:dyDescent="0.35">
      <c r="A94" s="544" t="s">
        <v>33</v>
      </c>
      <c r="B94" s="560" t="s">
        <v>17</v>
      </c>
      <c r="C94" s="561"/>
      <c r="D94" s="562"/>
      <c r="E94" s="563" t="s">
        <v>21</v>
      </c>
      <c r="F94" s="564"/>
    </row>
    <row r="95" spans="1:6" ht="15.6" x14ac:dyDescent="0.3">
      <c r="B95" s="165" t="s">
        <v>18</v>
      </c>
      <c r="C95" s="168"/>
      <c r="D95" s="160" t="str">
        <f>'Liste de projets '!D24</f>
        <v>PNHG</v>
      </c>
      <c r="F95" s="140"/>
    </row>
    <row r="96" spans="1:6" ht="15.6" x14ac:dyDescent="0.3">
      <c r="B96" s="30" t="s">
        <v>19</v>
      </c>
      <c r="C96" s="41"/>
      <c r="D96" s="26"/>
      <c r="E96" s="139"/>
      <c r="F96" s="101"/>
    </row>
    <row r="97" spans="2:6" ht="15.6" x14ac:dyDescent="0.3">
      <c r="B97" s="30" t="s">
        <v>20</v>
      </c>
      <c r="C97" s="41"/>
      <c r="D97" s="26"/>
      <c r="E97" s="139"/>
      <c r="F97" s="101"/>
    </row>
    <row r="98" spans="2:6" ht="15.6" x14ac:dyDescent="0.3">
      <c r="B98" s="30"/>
      <c r="C98" s="41"/>
      <c r="D98" s="26"/>
      <c r="E98" s="28"/>
      <c r="F98" s="24"/>
    </row>
    <row r="99" spans="2:6" ht="15.6" x14ac:dyDescent="0.3">
      <c r="B99" s="166"/>
      <c r="C99" s="32"/>
      <c r="D99" s="144"/>
      <c r="E99" s="28"/>
      <c r="F99" s="24"/>
    </row>
    <row r="100" spans="2:6" ht="15.6" x14ac:dyDescent="0.3">
      <c r="B100" s="565" t="s">
        <v>757</v>
      </c>
      <c r="C100" s="566"/>
      <c r="D100" s="567"/>
      <c r="E100" s="32"/>
      <c r="F100" s="2"/>
    </row>
    <row r="101" spans="2:6" ht="15.6" x14ac:dyDescent="0.3">
      <c r="B101" s="580" t="s">
        <v>226</v>
      </c>
      <c r="C101" s="581"/>
      <c r="D101" s="581"/>
      <c r="E101" s="582"/>
      <c r="F101" s="2"/>
    </row>
    <row r="102" spans="2:6" x14ac:dyDescent="0.3">
      <c r="B102" s="583"/>
      <c r="C102" s="584"/>
      <c r="D102" s="584"/>
      <c r="E102" s="585"/>
      <c r="F102" s="2"/>
    </row>
    <row r="103" spans="2:6" x14ac:dyDescent="0.3">
      <c r="B103" s="1"/>
      <c r="D103" s="8"/>
      <c r="F103" s="24"/>
    </row>
    <row r="104" spans="2:6" x14ac:dyDescent="0.3">
      <c r="B104" s="13"/>
      <c r="C104" s="169"/>
      <c r="D104" s="12"/>
      <c r="F104" s="15"/>
    </row>
    <row r="105" spans="2:6" ht="18" x14ac:dyDescent="0.3">
      <c r="B105" s="554" t="s">
        <v>22</v>
      </c>
      <c r="C105" s="555"/>
      <c r="D105" s="556"/>
      <c r="E105" s="557" t="s">
        <v>28</v>
      </c>
      <c r="F105" s="558"/>
    </row>
    <row r="106" spans="2:6" ht="15.6" x14ac:dyDescent="0.3">
      <c r="B106" s="31" t="s">
        <v>23</v>
      </c>
      <c r="C106" s="170"/>
      <c r="D106" s="32"/>
      <c r="E106" s="33" t="s">
        <v>29</v>
      </c>
      <c r="F106" s="34" t="s">
        <v>37</v>
      </c>
    </row>
    <row r="107" spans="2:6" ht="15.6" x14ac:dyDescent="0.3">
      <c r="B107" s="35" t="s">
        <v>24</v>
      </c>
      <c r="C107" s="28"/>
      <c r="D107" s="36" t="s">
        <v>41</v>
      </c>
      <c r="E107" s="26" t="s">
        <v>38</v>
      </c>
      <c r="F107" s="37"/>
    </row>
    <row r="108" spans="2:6" ht="15.6" x14ac:dyDescent="0.3">
      <c r="B108" s="35" t="s">
        <v>25</v>
      </c>
      <c r="C108" s="28"/>
      <c r="D108" s="36"/>
      <c r="E108" s="26" t="s">
        <v>30</v>
      </c>
      <c r="F108" s="27"/>
    </row>
    <row r="109" spans="2:6" ht="15.6" x14ac:dyDescent="0.3">
      <c r="B109" s="35" t="s">
        <v>26</v>
      </c>
      <c r="C109" s="28"/>
      <c r="D109" s="36"/>
      <c r="E109" s="26" t="s">
        <v>31</v>
      </c>
      <c r="F109" s="27"/>
    </row>
    <row r="110" spans="2:6" ht="15.6" x14ac:dyDescent="0.3">
      <c r="B110" s="35"/>
      <c r="C110" s="28"/>
      <c r="D110" s="36"/>
      <c r="E110" s="26"/>
      <c r="F110" s="27"/>
    </row>
    <row r="111" spans="2:6" ht="15.6" x14ac:dyDescent="0.3">
      <c r="B111" s="38"/>
      <c r="C111" s="171"/>
      <c r="D111" s="39"/>
      <c r="E111" s="28"/>
      <c r="F111" s="27"/>
    </row>
    <row r="112" spans="2:6" ht="15.6" x14ac:dyDescent="0.3">
      <c r="B112" s="40" t="s">
        <v>27</v>
      </c>
      <c r="C112" s="172"/>
      <c r="D112" s="41"/>
      <c r="E112" s="42"/>
      <c r="F112" s="27"/>
    </row>
    <row r="113" spans="1:6" ht="15.6" x14ac:dyDescent="0.3">
      <c r="B113" s="31"/>
      <c r="C113" s="170"/>
      <c r="D113" s="32"/>
      <c r="E113" s="28"/>
      <c r="F113" s="43"/>
    </row>
    <row r="114" spans="1:6" ht="15" thickBot="1" x14ac:dyDescent="0.35">
      <c r="B114" s="3"/>
      <c r="C114" s="4"/>
      <c r="D114" s="9"/>
      <c r="E114" s="4"/>
      <c r="F114" s="25"/>
    </row>
    <row r="119" spans="1:6" ht="28.8" x14ac:dyDescent="0.55000000000000004">
      <c r="C119" s="543" t="s">
        <v>58</v>
      </c>
      <c r="D119" s="543"/>
      <c r="E119" s="543"/>
      <c r="F119" s="543"/>
    </row>
    <row r="120" spans="1:6" ht="28.8" x14ac:dyDescent="0.55000000000000004">
      <c r="B120" s="55"/>
      <c r="C120" s="55"/>
      <c r="D120" s="55"/>
      <c r="E120" s="55"/>
    </row>
    <row r="121" spans="1:6" ht="25.8" x14ac:dyDescent="0.3">
      <c r="A121" s="194">
        <v>6</v>
      </c>
      <c r="D121" s="58" t="s">
        <v>59</v>
      </c>
      <c r="E121" s="57" t="str">
        <f>'Liste de projets '!B23</f>
        <v>IR11/11-024/LT</v>
      </c>
    </row>
    <row r="122" spans="1:6" ht="23.4" x14ac:dyDescent="0.4">
      <c r="B122" s="14"/>
      <c r="C122" s="14"/>
      <c r="D122" s="559"/>
      <c r="E122" s="559"/>
    </row>
    <row r="123" spans="1:6" ht="15" thickBot="1" x14ac:dyDescent="0.35"/>
    <row r="124" spans="1:6" ht="18.600000000000001" thickBot="1" x14ac:dyDescent="0.35">
      <c r="A124" s="544" t="s">
        <v>33</v>
      </c>
      <c r="B124" s="560" t="s">
        <v>17</v>
      </c>
      <c r="C124" s="561"/>
      <c r="D124" s="562"/>
      <c r="E124" s="563" t="s">
        <v>21</v>
      </c>
      <c r="F124" s="564"/>
    </row>
    <row r="125" spans="1:6" ht="15.6" x14ac:dyDescent="0.3">
      <c r="B125" s="165" t="s">
        <v>18</v>
      </c>
      <c r="C125" s="168"/>
      <c r="D125" s="160" t="str">
        <f>'Liste de projets '!D23</f>
        <v>Grunitzky</v>
      </c>
      <c r="E125" s="167"/>
      <c r="F125" s="140"/>
    </row>
    <row r="126" spans="1:6" ht="15.6" x14ac:dyDescent="0.3">
      <c r="B126" s="30" t="s">
        <v>19</v>
      </c>
      <c r="C126" s="41"/>
      <c r="D126" s="26" t="s">
        <v>229</v>
      </c>
      <c r="E126" s="139"/>
      <c r="F126" s="101"/>
    </row>
    <row r="127" spans="1:6" ht="15.6" x14ac:dyDescent="0.3">
      <c r="B127" s="30" t="s">
        <v>20</v>
      </c>
      <c r="C127" s="41"/>
      <c r="D127" s="26"/>
      <c r="E127" s="139"/>
      <c r="F127" s="101"/>
    </row>
    <row r="128" spans="1:6" ht="15.6" x14ac:dyDescent="0.3">
      <c r="B128" s="30"/>
      <c r="C128" s="41"/>
      <c r="D128" s="26"/>
      <c r="E128" s="28"/>
      <c r="F128" s="24"/>
    </row>
    <row r="129" spans="2:6" ht="15.6" x14ac:dyDescent="0.3">
      <c r="B129" s="30"/>
      <c r="C129" s="41"/>
      <c r="D129" s="26"/>
      <c r="E129" s="28"/>
      <c r="F129" s="24"/>
    </row>
    <row r="130" spans="2:6" ht="15.6" x14ac:dyDescent="0.3">
      <c r="B130" s="565" t="s">
        <v>758</v>
      </c>
      <c r="C130" s="566"/>
      <c r="D130" s="567"/>
      <c r="E130" s="28"/>
      <c r="F130" s="24"/>
    </row>
    <row r="131" spans="2:6" ht="15.6" x14ac:dyDescent="0.3">
      <c r="B131" s="31" t="s">
        <v>226</v>
      </c>
      <c r="C131" s="170"/>
      <c r="D131" s="32"/>
      <c r="E131" s="28"/>
      <c r="F131" s="24"/>
    </row>
    <row r="132" spans="2:6" x14ac:dyDescent="0.3">
      <c r="B132" s="1"/>
      <c r="D132" s="8"/>
      <c r="F132" s="24"/>
    </row>
    <row r="133" spans="2:6" x14ac:dyDescent="0.3">
      <c r="B133" s="1"/>
      <c r="D133" s="8"/>
      <c r="F133" s="24"/>
    </row>
    <row r="134" spans="2:6" x14ac:dyDescent="0.3">
      <c r="B134" s="1"/>
      <c r="D134" s="8"/>
      <c r="F134" s="24"/>
    </row>
    <row r="135" spans="2:6" x14ac:dyDescent="0.3">
      <c r="B135" s="1"/>
      <c r="D135" s="8"/>
      <c r="F135" s="24"/>
    </row>
    <row r="136" spans="2:6" x14ac:dyDescent="0.3">
      <c r="B136" s="13"/>
      <c r="C136" s="169"/>
      <c r="D136" s="12"/>
      <c r="F136" s="15"/>
    </row>
    <row r="137" spans="2:6" ht="18" x14ac:dyDescent="0.3">
      <c r="B137" s="554" t="s">
        <v>22</v>
      </c>
      <c r="C137" s="555"/>
      <c r="D137" s="556"/>
      <c r="E137" s="557" t="s">
        <v>28</v>
      </c>
      <c r="F137" s="558"/>
    </row>
    <row r="138" spans="2:6" ht="15.6" x14ac:dyDescent="0.3">
      <c r="B138" s="31" t="s">
        <v>23</v>
      </c>
      <c r="C138" s="170"/>
      <c r="D138" s="32"/>
      <c r="E138" s="33" t="s">
        <v>29</v>
      </c>
      <c r="F138" s="34" t="s">
        <v>37</v>
      </c>
    </row>
    <row r="139" spans="2:6" ht="15.6" x14ac:dyDescent="0.3">
      <c r="B139" s="35" t="s">
        <v>24</v>
      </c>
      <c r="C139" s="28"/>
      <c r="D139" s="36" t="s">
        <v>41</v>
      </c>
      <c r="E139" s="26" t="s">
        <v>38</v>
      </c>
      <c r="F139" s="37"/>
    </row>
    <row r="140" spans="2:6" ht="15.6" x14ac:dyDescent="0.3">
      <c r="B140" s="35" t="s">
        <v>25</v>
      </c>
      <c r="C140" s="28"/>
      <c r="D140" s="36"/>
      <c r="E140" s="26" t="s">
        <v>30</v>
      </c>
      <c r="F140" s="27"/>
    </row>
    <row r="141" spans="2:6" ht="15.6" x14ac:dyDescent="0.3">
      <c r="B141" s="35" t="s">
        <v>26</v>
      </c>
      <c r="C141" s="28"/>
      <c r="D141" s="36"/>
      <c r="E141" s="26" t="s">
        <v>31</v>
      </c>
      <c r="F141" s="27"/>
    </row>
    <row r="142" spans="2:6" ht="15.6" x14ac:dyDescent="0.3">
      <c r="B142" s="35"/>
      <c r="C142" s="28"/>
      <c r="D142" s="36"/>
      <c r="E142" s="26"/>
      <c r="F142" s="27"/>
    </row>
    <row r="143" spans="2:6" ht="15.6" x14ac:dyDescent="0.3">
      <c r="B143" s="38"/>
      <c r="C143" s="171"/>
      <c r="D143" s="39"/>
      <c r="E143" s="28"/>
      <c r="F143" s="27"/>
    </row>
    <row r="144" spans="2:6" ht="15.6" x14ac:dyDescent="0.3">
      <c r="B144" s="40" t="s">
        <v>27</v>
      </c>
      <c r="C144" s="172"/>
      <c r="D144" s="41"/>
      <c r="E144" s="42"/>
      <c r="F144" s="27"/>
    </row>
    <row r="145" spans="1:6" ht="15.6" x14ac:dyDescent="0.3">
      <c r="B145" s="31"/>
      <c r="C145" s="170"/>
      <c r="D145" s="32"/>
      <c r="E145" s="28"/>
      <c r="F145" s="43"/>
    </row>
    <row r="146" spans="1:6" ht="15" thickBot="1" x14ac:dyDescent="0.35">
      <c r="B146" s="3"/>
      <c r="C146" s="4"/>
      <c r="D146" s="9"/>
      <c r="E146" s="4"/>
      <c r="F146" s="25"/>
    </row>
    <row r="151" spans="1:6" ht="28.8" x14ac:dyDescent="0.55000000000000004">
      <c r="C151" s="543" t="s">
        <v>58</v>
      </c>
      <c r="D151" s="543"/>
      <c r="E151" s="543"/>
      <c r="F151" s="543"/>
    </row>
    <row r="152" spans="1:6" ht="28.8" x14ac:dyDescent="0.55000000000000004">
      <c r="B152" s="55"/>
      <c r="C152" s="55"/>
      <c r="D152" s="55"/>
      <c r="E152" s="55"/>
    </row>
    <row r="153" spans="1:6" ht="25.8" x14ac:dyDescent="0.3">
      <c r="A153" s="194">
        <v>7</v>
      </c>
      <c r="D153" s="58" t="s">
        <v>59</v>
      </c>
      <c r="E153" s="57">
        <f>'Fiche Activité CIAU'!B35</f>
        <v>0</v>
      </c>
    </row>
    <row r="154" spans="1:6" ht="23.4" x14ac:dyDescent="0.4">
      <c r="B154" s="14"/>
      <c r="C154" s="14"/>
      <c r="D154" s="559"/>
      <c r="E154" s="559"/>
    </row>
    <row r="155" spans="1:6" ht="15" thickBot="1" x14ac:dyDescent="0.35"/>
    <row r="156" spans="1:6" ht="18.600000000000001" thickBot="1" x14ac:dyDescent="0.35">
      <c r="A156" s="544" t="s">
        <v>33</v>
      </c>
      <c r="B156" s="560" t="s">
        <v>17</v>
      </c>
      <c r="C156" s="561"/>
      <c r="D156" s="562"/>
      <c r="E156" s="563" t="s">
        <v>21</v>
      </c>
      <c r="F156" s="564"/>
    </row>
    <row r="157" spans="1:6" ht="15.6" x14ac:dyDescent="0.3">
      <c r="B157" s="165" t="s">
        <v>18</v>
      </c>
      <c r="C157" s="168"/>
      <c r="D157" s="160" t="str">
        <f>'Liste de projets '!D22</f>
        <v xml:space="preserve">MAY </v>
      </c>
      <c r="E157" s="167"/>
      <c r="F157" s="140"/>
    </row>
    <row r="158" spans="1:6" ht="15.6" x14ac:dyDescent="0.3">
      <c r="B158" s="30" t="s">
        <v>19</v>
      </c>
      <c r="C158" s="41"/>
      <c r="D158" s="26"/>
      <c r="E158" s="139"/>
      <c r="F158" s="101"/>
    </row>
    <row r="159" spans="1:6" ht="15.6" x14ac:dyDescent="0.3">
      <c r="B159" s="30" t="s">
        <v>20</v>
      </c>
      <c r="C159" s="41"/>
      <c r="D159" s="26"/>
      <c r="E159" s="139"/>
      <c r="F159" s="101"/>
    </row>
    <row r="160" spans="1:6" ht="15.6" x14ac:dyDescent="0.3">
      <c r="B160" s="30"/>
      <c r="C160" s="41"/>
      <c r="D160" s="26"/>
      <c r="E160" s="28"/>
      <c r="F160" s="24"/>
    </row>
    <row r="161" spans="2:6" ht="15.6" x14ac:dyDescent="0.3">
      <c r="B161" s="30"/>
      <c r="C161" s="41"/>
      <c r="D161" s="26"/>
      <c r="E161" s="28"/>
      <c r="F161" s="24"/>
    </row>
    <row r="162" spans="2:6" ht="15.6" x14ac:dyDescent="0.3">
      <c r="B162" s="565" t="s">
        <v>759</v>
      </c>
      <c r="C162" s="566"/>
      <c r="D162" s="567"/>
      <c r="E162" s="28"/>
      <c r="F162" s="24"/>
    </row>
    <row r="163" spans="2:6" ht="15.6" x14ac:dyDescent="0.3">
      <c r="B163" s="31" t="s">
        <v>226</v>
      </c>
      <c r="C163" s="170"/>
      <c r="D163" s="32"/>
      <c r="E163" s="28"/>
      <c r="F163" s="24"/>
    </row>
    <row r="164" spans="2:6" x14ac:dyDescent="0.3">
      <c r="B164" s="1"/>
      <c r="D164" s="8"/>
      <c r="F164" s="24"/>
    </row>
    <row r="165" spans="2:6" x14ac:dyDescent="0.3">
      <c r="B165" s="1"/>
      <c r="D165" s="8"/>
      <c r="F165" s="24"/>
    </row>
    <row r="166" spans="2:6" x14ac:dyDescent="0.3">
      <c r="B166" s="1"/>
      <c r="D166" s="8"/>
      <c r="F166" s="24"/>
    </row>
    <row r="167" spans="2:6" x14ac:dyDescent="0.3">
      <c r="B167" s="1"/>
      <c r="D167" s="8"/>
      <c r="F167" s="24"/>
    </row>
    <row r="168" spans="2:6" x14ac:dyDescent="0.3">
      <c r="B168" s="13"/>
      <c r="C168" s="169"/>
      <c r="D168" s="12"/>
      <c r="F168" s="15"/>
    </row>
    <row r="169" spans="2:6" ht="18" x14ac:dyDescent="0.3">
      <c r="B169" s="554" t="s">
        <v>22</v>
      </c>
      <c r="C169" s="555"/>
      <c r="D169" s="556"/>
      <c r="E169" s="557" t="s">
        <v>28</v>
      </c>
      <c r="F169" s="558"/>
    </row>
    <row r="170" spans="2:6" ht="15.6" x14ac:dyDescent="0.3">
      <c r="B170" s="31" t="s">
        <v>23</v>
      </c>
      <c r="C170" s="170"/>
      <c r="D170" s="32"/>
      <c r="E170" s="33" t="s">
        <v>29</v>
      </c>
      <c r="F170" s="34" t="s">
        <v>37</v>
      </c>
    </row>
    <row r="171" spans="2:6" ht="15.6" x14ac:dyDescent="0.3">
      <c r="B171" s="35" t="s">
        <v>24</v>
      </c>
      <c r="C171" s="28"/>
      <c r="D171" s="36" t="s">
        <v>41</v>
      </c>
      <c r="E171" s="26" t="s">
        <v>38</v>
      </c>
      <c r="F171" s="37"/>
    </row>
    <row r="172" spans="2:6" ht="15.6" x14ac:dyDescent="0.3">
      <c r="B172" s="35" t="s">
        <v>25</v>
      </c>
      <c r="C172" s="28"/>
      <c r="D172" s="36"/>
      <c r="E172" s="26" t="s">
        <v>30</v>
      </c>
      <c r="F172" s="27"/>
    </row>
    <row r="173" spans="2:6" ht="15.6" x14ac:dyDescent="0.3">
      <c r="B173" s="35" t="s">
        <v>26</v>
      </c>
      <c r="C173" s="28"/>
      <c r="D173" s="36"/>
      <c r="E173" s="26" t="s">
        <v>31</v>
      </c>
      <c r="F173" s="27"/>
    </row>
    <row r="174" spans="2:6" ht="15.6" x14ac:dyDescent="0.3">
      <c r="B174" s="35"/>
      <c r="C174" s="28"/>
      <c r="D174" s="36"/>
      <c r="E174" s="26"/>
      <c r="F174" s="27"/>
    </row>
    <row r="175" spans="2:6" ht="15.6" x14ac:dyDescent="0.3">
      <c r="B175" s="38"/>
      <c r="C175" s="171"/>
      <c r="D175" s="39"/>
      <c r="E175" s="28"/>
      <c r="F175" s="27"/>
    </row>
    <row r="176" spans="2:6" ht="15.6" x14ac:dyDescent="0.3">
      <c r="B176" s="40" t="s">
        <v>27</v>
      </c>
      <c r="C176" s="172"/>
      <c r="D176" s="41"/>
      <c r="E176" s="42"/>
      <c r="F176" s="27"/>
    </row>
    <row r="177" spans="1:6" ht="15.6" x14ac:dyDescent="0.3">
      <c r="B177" s="31"/>
      <c r="C177" s="170"/>
      <c r="D177" s="32"/>
      <c r="E177" s="28"/>
      <c r="F177" s="43"/>
    </row>
    <row r="178" spans="1:6" ht="15" thickBot="1" x14ac:dyDescent="0.35">
      <c r="B178" s="3"/>
      <c r="C178" s="4"/>
      <c r="D178" s="9"/>
      <c r="E178" s="4"/>
      <c r="F178" s="25"/>
    </row>
    <row r="184" spans="1:6" ht="28.8" x14ac:dyDescent="0.55000000000000004">
      <c r="C184" s="543" t="s">
        <v>58</v>
      </c>
      <c r="D184" s="543"/>
      <c r="E184" s="543"/>
      <c r="F184" s="543"/>
    </row>
    <row r="185" spans="1:6" ht="28.8" x14ac:dyDescent="0.55000000000000004">
      <c r="B185" s="55"/>
      <c r="C185" s="55"/>
      <c r="D185" s="55"/>
      <c r="E185" s="55"/>
    </row>
    <row r="186" spans="1:6" ht="25.8" x14ac:dyDescent="0.3">
      <c r="A186" s="194">
        <v>8</v>
      </c>
      <c r="D186" s="58" t="s">
        <v>59</v>
      </c>
      <c r="E186" s="57">
        <f>'Fiche Activité CIAU'!B68</f>
        <v>0</v>
      </c>
    </row>
    <row r="187" spans="1:6" ht="23.4" x14ac:dyDescent="0.4">
      <c r="B187" s="14"/>
      <c r="C187" s="14"/>
      <c r="D187" s="559"/>
      <c r="E187" s="559"/>
    </row>
    <row r="188" spans="1:6" ht="15" thickBot="1" x14ac:dyDescent="0.35"/>
    <row r="189" spans="1:6" ht="18.600000000000001" thickBot="1" x14ac:dyDescent="0.35">
      <c r="A189" s="544" t="s">
        <v>33</v>
      </c>
      <c r="B189" s="560" t="s">
        <v>17</v>
      </c>
      <c r="C189" s="561"/>
      <c r="D189" s="562"/>
      <c r="E189" s="563" t="s">
        <v>21</v>
      </c>
      <c r="F189" s="564"/>
    </row>
    <row r="190" spans="1:6" ht="15.6" x14ac:dyDescent="0.3">
      <c r="B190" s="165" t="s">
        <v>18</v>
      </c>
      <c r="C190" s="168"/>
      <c r="D190" s="160" t="str">
        <f>'Liste de projets '!D21</f>
        <v xml:space="preserve">ORABANK </v>
      </c>
      <c r="E190" s="167"/>
      <c r="F190" s="140"/>
    </row>
    <row r="191" spans="1:6" ht="15.6" x14ac:dyDescent="0.3">
      <c r="B191" s="30" t="s">
        <v>19</v>
      </c>
      <c r="C191" s="41"/>
      <c r="D191" s="26" t="s">
        <v>229</v>
      </c>
      <c r="E191" s="139"/>
      <c r="F191" s="101"/>
    </row>
    <row r="192" spans="1:6" ht="15.6" x14ac:dyDescent="0.3">
      <c r="B192" s="30" t="s">
        <v>20</v>
      </c>
      <c r="C192" s="41"/>
      <c r="D192" s="26"/>
      <c r="E192" s="139"/>
      <c r="F192" s="101"/>
    </row>
    <row r="193" spans="2:6" ht="15.6" x14ac:dyDescent="0.3">
      <c r="B193" s="30"/>
      <c r="C193" s="41"/>
      <c r="D193" s="26"/>
      <c r="E193" s="28"/>
      <c r="F193" s="24"/>
    </row>
    <row r="194" spans="2:6" ht="15.6" x14ac:dyDescent="0.3">
      <c r="B194" s="30"/>
      <c r="C194" s="41"/>
      <c r="D194" s="26"/>
      <c r="E194" s="28"/>
      <c r="F194" s="24"/>
    </row>
    <row r="195" spans="2:6" ht="15.6" x14ac:dyDescent="0.3">
      <c r="B195" s="565" t="s">
        <v>760</v>
      </c>
      <c r="C195" s="566"/>
      <c r="D195" s="567"/>
      <c r="E195" s="28"/>
      <c r="F195" s="24"/>
    </row>
    <row r="196" spans="2:6" ht="15.6" x14ac:dyDescent="0.3">
      <c r="B196" s="31" t="s">
        <v>226</v>
      </c>
      <c r="C196" s="170"/>
      <c r="D196" s="32"/>
      <c r="E196" s="28"/>
      <c r="F196" s="24"/>
    </row>
    <row r="197" spans="2:6" x14ac:dyDescent="0.3">
      <c r="B197" s="1"/>
      <c r="D197" s="8"/>
      <c r="F197" s="24"/>
    </row>
    <row r="198" spans="2:6" x14ac:dyDescent="0.3">
      <c r="B198" s="1"/>
      <c r="D198" s="8"/>
      <c r="F198" s="24"/>
    </row>
    <row r="199" spans="2:6" x14ac:dyDescent="0.3">
      <c r="B199" s="1"/>
      <c r="D199" s="8"/>
      <c r="F199" s="24"/>
    </row>
    <row r="200" spans="2:6" x14ac:dyDescent="0.3">
      <c r="B200" s="1"/>
      <c r="D200" s="8"/>
      <c r="F200" s="24"/>
    </row>
    <row r="201" spans="2:6" x14ac:dyDescent="0.3">
      <c r="B201" s="13"/>
      <c r="C201" s="169"/>
      <c r="D201" s="12"/>
      <c r="F201" s="15"/>
    </row>
    <row r="202" spans="2:6" ht="18" x14ac:dyDescent="0.3">
      <c r="B202" s="554" t="s">
        <v>22</v>
      </c>
      <c r="C202" s="555"/>
      <c r="D202" s="556"/>
      <c r="E202" s="557" t="s">
        <v>28</v>
      </c>
      <c r="F202" s="558"/>
    </row>
    <row r="203" spans="2:6" ht="15.6" x14ac:dyDescent="0.3">
      <c r="B203" s="31" t="s">
        <v>23</v>
      </c>
      <c r="C203" s="170"/>
      <c r="D203" s="32"/>
      <c r="E203" s="33" t="s">
        <v>29</v>
      </c>
      <c r="F203" s="34" t="s">
        <v>37</v>
      </c>
    </row>
    <row r="204" spans="2:6" ht="15.6" x14ac:dyDescent="0.3">
      <c r="B204" s="35" t="s">
        <v>24</v>
      </c>
      <c r="C204" s="28"/>
      <c r="D204" s="36" t="s">
        <v>41</v>
      </c>
      <c r="E204" s="26" t="s">
        <v>38</v>
      </c>
      <c r="F204" s="37"/>
    </row>
    <row r="205" spans="2:6" ht="15.6" x14ac:dyDescent="0.3">
      <c r="B205" s="35" t="s">
        <v>25</v>
      </c>
      <c r="C205" s="28"/>
      <c r="D205" s="36"/>
      <c r="E205" s="26" t="s">
        <v>30</v>
      </c>
      <c r="F205" s="27"/>
    </row>
    <row r="206" spans="2:6" ht="15.6" x14ac:dyDescent="0.3">
      <c r="B206" s="35" t="s">
        <v>26</v>
      </c>
      <c r="C206" s="28"/>
      <c r="D206" s="36"/>
      <c r="E206" s="26" t="s">
        <v>31</v>
      </c>
      <c r="F206" s="27"/>
    </row>
    <row r="207" spans="2:6" ht="15.6" x14ac:dyDescent="0.3">
      <c r="B207" s="35"/>
      <c r="C207" s="28"/>
      <c r="D207" s="36"/>
      <c r="E207" s="26"/>
      <c r="F207" s="27"/>
    </row>
    <row r="208" spans="2:6" ht="15.6" x14ac:dyDescent="0.3">
      <c r="B208" s="38"/>
      <c r="C208" s="171"/>
      <c r="D208" s="39"/>
      <c r="E208" s="28"/>
      <c r="F208" s="27"/>
    </row>
    <row r="209" spans="1:6" ht="15.6" x14ac:dyDescent="0.3">
      <c r="B209" s="40" t="s">
        <v>27</v>
      </c>
      <c r="C209" s="172"/>
      <c r="D209" s="41"/>
      <c r="E209" s="42"/>
      <c r="F209" s="27"/>
    </row>
    <row r="210" spans="1:6" ht="15.6" x14ac:dyDescent="0.3">
      <c r="B210" s="31"/>
      <c r="C210" s="170"/>
      <c r="D210" s="32"/>
      <c r="E210" s="28"/>
      <c r="F210" s="43"/>
    </row>
    <row r="211" spans="1:6" ht="15" thickBot="1" x14ac:dyDescent="0.35">
      <c r="B211" s="3"/>
      <c r="C211" s="4"/>
      <c r="D211" s="9"/>
      <c r="E211" s="4"/>
      <c r="F211" s="25"/>
    </row>
    <row r="217" spans="1:6" ht="28.8" x14ac:dyDescent="0.55000000000000004">
      <c r="C217" s="543" t="s">
        <v>58</v>
      </c>
      <c r="D217" s="543"/>
      <c r="E217" s="543"/>
      <c r="F217" s="543"/>
    </row>
    <row r="218" spans="1:6" ht="28.8" x14ac:dyDescent="0.55000000000000004">
      <c r="B218" s="55"/>
      <c r="C218" s="55"/>
      <c r="D218" s="55"/>
      <c r="E218" s="55"/>
    </row>
    <row r="219" spans="1:6" ht="25.8" x14ac:dyDescent="0.3">
      <c r="A219" s="194">
        <v>9</v>
      </c>
      <c r="D219" s="58" t="s">
        <v>59</v>
      </c>
      <c r="E219" s="57">
        <f>'Fiche Activité CIAU'!B101</f>
        <v>0</v>
      </c>
    </row>
    <row r="220" spans="1:6" ht="23.4" x14ac:dyDescent="0.4">
      <c r="B220" s="14"/>
      <c r="C220" s="14"/>
      <c r="D220" s="559"/>
      <c r="E220" s="559"/>
    </row>
    <row r="221" spans="1:6" ht="15" thickBot="1" x14ac:dyDescent="0.35"/>
    <row r="222" spans="1:6" ht="18.600000000000001" thickBot="1" x14ac:dyDescent="0.35">
      <c r="A222" s="544" t="s">
        <v>33</v>
      </c>
      <c r="B222" s="560" t="s">
        <v>17</v>
      </c>
      <c r="C222" s="561"/>
      <c r="D222" s="562"/>
      <c r="E222" s="563" t="s">
        <v>21</v>
      </c>
      <c r="F222" s="564"/>
    </row>
    <row r="223" spans="1:6" ht="15.6" x14ac:dyDescent="0.3">
      <c r="B223" s="165" t="s">
        <v>18</v>
      </c>
      <c r="C223" s="168"/>
      <c r="D223" s="160">
        <f>'Liste de projets '!D60</f>
        <v>0</v>
      </c>
      <c r="E223" s="167"/>
      <c r="F223" s="140"/>
    </row>
    <row r="224" spans="1:6" ht="15.6" x14ac:dyDescent="0.3">
      <c r="B224" s="30" t="s">
        <v>19</v>
      </c>
      <c r="C224" s="41"/>
      <c r="D224" s="26" t="s">
        <v>229</v>
      </c>
      <c r="E224" s="139"/>
      <c r="F224" s="101"/>
    </row>
    <row r="225" spans="2:6" ht="15.6" x14ac:dyDescent="0.3">
      <c r="B225" s="30" t="s">
        <v>20</v>
      </c>
      <c r="C225" s="41"/>
      <c r="D225" s="26"/>
      <c r="E225" s="139"/>
      <c r="F225" s="101"/>
    </row>
    <row r="226" spans="2:6" ht="15.6" x14ac:dyDescent="0.3">
      <c r="B226" s="30"/>
      <c r="C226" s="41"/>
      <c r="D226" s="26"/>
      <c r="E226" s="28"/>
      <c r="F226" s="24"/>
    </row>
    <row r="227" spans="2:6" ht="15.6" x14ac:dyDescent="0.3">
      <c r="B227" s="30"/>
      <c r="C227" s="41"/>
      <c r="D227" s="26"/>
      <c r="E227" s="28"/>
      <c r="F227" s="24"/>
    </row>
    <row r="228" spans="2:6" ht="15.6" x14ac:dyDescent="0.3">
      <c r="B228" s="565" t="s">
        <v>696</v>
      </c>
      <c r="C228" s="566"/>
      <c r="D228" s="567"/>
      <c r="E228" s="28"/>
      <c r="F228" s="24"/>
    </row>
    <row r="229" spans="2:6" ht="15.6" x14ac:dyDescent="0.3">
      <c r="B229" s="31" t="s">
        <v>226</v>
      </c>
      <c r="C229" s="170"/>
      <c r="D229" s="32"/>
      <c r="E229" s="28"/>
      <c r="F229" s="24"/>
    </row>
    <row r="230" spans="2:6" x14ac:dyDescent="0.3">
      <c r="B230" s="1"/>
      <c r="D230" s="8"/>
      <c r="F230" s="24"/>
    </row>
    <row r="231" spans="2:6" x14ac:dyDescent="0.3">
      <c r="B231" s="1"/>
      <c r="D231" s="8"/>
      <c r="F231" s="24"/>
    </row>
    <row r="232" spans="2:6" x14ac:dyDescent="0.3">
      <c r="B232" s="1"/>
      <c r="D232" s="8"/>
      <c r="F232" s="24"/>
    </row>
    <row r="233" spans="2:6" x14ac:dyDescent="0.3">
      <c r="B233" s="1"/>
      <c r="D233" s="8"/>
      <c r="F233" s="24"/>
    </row>
    <row r="234" spans="2:6" x14ac:dyDescent="0.3">
      <c r="B234" s="13"/>
      <c r="C234" s="169"/>
      <c r="D234" s="12"/>
      <c r="F234" s="15"/>
    </row>
    <row r="235" spans="2:6" ht="18" x14ac:dyDescent="0.3">
      <c r="B235" s="554" t="s">
        <v>22</v>
      </c>
      <c r="C235" s="555"/>
      <c r="D235" s="556"/>
      <c r="E235" s="557" t="s">
        <v>28</v>
      </c>
      <c r="F235" s="558"/>
    </row>
    <row r="236" spans="2:6" ht="15.6" x14ac:dyDescent="0.3">
      <c r="B236" s="31" t="s">
        <v>23</v>
      </c>
      <c r="C236" s="170"/>
      <c r="D236" s="32"/>
      <c r="E236" s="33" t="s">
        <v>29</v>
      </c>
      <c r="F236" s="34" t="s">
        <v>37</v>
      </c>
    </row>
    <row r="237" spans="2:6" ht="15.6" x14ac:dyDescent="0.3">
      <c r="B237" s="35" t="s">
        <v>24</v>
      </c>
      <c r="C237" s="28"/>
      <c r="D237" s="36" t="s">
        <v>41</v>
      </c>
      <c r="E237" s="26" t="s">
        <v>38</v>
      </c>
      <c r="F237" s="37"/>
    </row>
    <row r="238" spans="2:6" ht="15.6" x14ac:dyDescent="0.3">
      <c r="B238" s="35" t="s">
        <v>25</v>
      </c>
      <c r="C238" s="28"/>
      <c r="D238" s="36"/>
      <c r="E238" s="26" t="s">
        <v>30</v>
      </c>
      <c r="F238" s="27"/>
    </row>
    <row r="239" spans="2:6" ht="15.6" x14ac:dyDescent="0.3">
      <c r="B239" s="35" t="s">
        <v>26</v>
      </c>
      <c r="C239" s="28"/>
      <c r="D239" s="36"/>
      <c r="E239" s="26" t="s">
        <v>31</v>
      </c>
      <c r="F239" s="27"/>
    </row>
    <row r="240" spans="2:6" ht="15.6" x14ac:dyDescent="0.3">
      <c r="B240" s="35"/>
      <c r="C240" s="28"/>
      <c r="D240" s="36"/>
      <c r="E240" s="26"/>
      <c r="F240" s="27"/>
    </row>
    <row r="241" spans="1:6" ht="15.6" x14ac:dyDescent="0.3">
      <c r="B241" s="38"/>
      <c r="C241" s="171"/>
      <c r="D241" s="39"/>
      <c r="E241" s="28"/>
      <c r="F241" s="27"/>
    </row>
    <row r="242" spans="1:6" ht="15.6" x14ac:dyDescent="0.3">
      <c r="B242" s="40" t="s">
        <v>27</v>
      </c>
      <c r="C242" s="172"/>
      <c r="D242" s="41"/>
      <c r="E242" s="42"/>
      <c r="F242" s="27"/>
    </row>
    <row r="243" spans="1:6" ht="15.6" x14ac:dyDescent="0.3">
      <c r="B243" s="31"/>
      <c r="C243" s="170"/>
      <c r="D243" s="32"/>
      <c r="E243" s="28"/>
      <c r="F243" s="43"/>
    </row>
    <row r="244" spans="1:6" ht="15" thickBot="1" x14ac:dyDescent="0.35">
      <c r="B244" s="3"/>
      <c r="C244" s="4"/>
      <c r="D244" s="9"/>
      <c r="E244" s="4"/>
      <c r="F244" s="25"/>
    </row>
    <row r="250" spans="1:6" ht="28.8" x14ac:dyDescent="0.55000000000000004">
      <c r="C250" s="543" t="s">
        <v>58</v>
      </c>
      <c r="D250" s="543"/>
      <c r="E250" s="543"/>
      <c r="F250" s="543"/>
    </row>
    <row r="251" spans="1:6" ht="28.8" x14ac:dyDescent="0.55000000000000004">
      <c r="B251" s="55"/>
      <c r="C251" s="55"/>
      <c r="D251" s="55"/>
      <c r="E251" s="55"/>
    </row>
    <row r="252" spans="1:6" ht="25.8" x14ac:dyDescent="0.3">
      <c r="A252" s="194">
        <v>10</v>
      </c>
      <c r="D252" s="58" t="s">
        <v>59</v>
      </c>
      <c r="E252" s="57" t="str">
        <f>'Liste de projets '!B19</f>
        <v>Eg01/04-024/LT</v>
      </c>
    </row>
    <row r="253" spans="1:6" ht="23.4" x14ac:dyDescent="0.4">
      <c r="B253" s="14"/>
      <c r="C253" s="14"/>
      <c r="D253" s="559"/>
      <c r="E253" s="559"/>
    </row>
    <row r="254" spans="1:6" ht="15" thickBot="1" x14ac:dyDescent="0.35"/>
    <row r="255" spans="1:6" ht="18.600000000000001" thickBot="1" x14ac:dyDescent="0.35">
      <c r="A255" s="544" t="s">
        <v>33</v>
      </c>
      <c r="B255" s="560" t="s">
        <v>17</v>
      </c>
      <c r="C255" s="561"/>
      <c r="D255" s="562"/>
      <c r="E255" s="563" t="s">
        <v>21</v>
      </c>
      <c r="F255" s="564"/>
    </row>
    <row r="256" spans="1:6" ht="15.6" x14ac:dyDescent="0.3">
      <c r="B256" s="165" t="s">
        <v>18</v>
      </c>
      <c r="C256" s="168"/>
      <c r="D256" s="160">
        <f>'Liste de projets '!D93</f>
        <v>0</v>
      </c>
      <c r="E256" s="167"/>
      <c r="F256" s="140"/>
    </row>
    <row r="257" spans="2:6" ht="15.6" x14ac:dyDescent="0.3">
      <c r="B257" s="30" t="s">
        <v>19</v>
      </c>
      <c r="C257" s="41"/>
      <c r="D257" s="26" t="s">
        <v>699</v>
      </c>
      <c r="E257" s="139"/>
      <c r="F257" s="101"/>
    </row>
    <row r="258" spans="2:6" ht="15.6" x14ac:dyDescent="0.3">
      <c r="B258" s="30" t="s">
        <v>20</v>
      </c>
      <c r="C258" s="41"/>
      <c r="D258" s="26"/>
      <c r="E258" s="139"/>
      <c r="F258" s="101"/>
    </row>
    <row r="259" spans="2:6" ht="15.6" x14ac:dyDescent="0.3">
      <c r="B259" s="30"/>
      <c r="C259" s="41"/>
      <c r="D259" s="26"/>
      <c r="E259" s="28"/>
      <c r="F259" s="24"/>
    </row>
    <row r="260" spans="2:6" ht="15.6" x14ac:dyDescent="0.3">
      <c r="B260" s="30"/>
      <c r="C260" s="41"/>
      <c r="D260" s="26"/>
      <c r="E260" s="28"/>
      <c r="F260" s="24"/>
    </row>
    <row r="261" spans="2:6" ht="15.6" x14ac:dyDescent="0.3">
      <c r="B261" s="565" t="s">
        <v>761</v>
      </c>
      <c r="C261" s="566"/>
      <c r="D261" s="567"/>
      <c r="E261" s="28"/>
      <c r="F261" s="24"/>
    </row>
    <row r="262" spans="2:6" ht="15.6" x14ac:dyDescent="0.3">
      <c r="B262" s="31" t="s">
        <v>226</v>
      </c>
      <c r="C262" s="170"/>
      <c r="D262" s="32"/>
      <c r="E262" s="28"/>
      <c r="F262" s="24"/>
    </row>
    <row r="263" spans="2:6" x14ac:dyDescent="0.3">
      <c r="B263" s="1"/>
      <c r="D263" s="8"/>
      <c r="F263" s="24"/>
    </row>
    <row r="264" spans="2:6" x14ac:dyDescent="0.3">
      <c r="B264" s="1"/>
      <c r="D264" s="8"/>
      <c r="F264" s="24"/>
    </row>
    <row r="265" spans="2:6" x14ac:dyDescent="0.3">
      <c r="B265" s="1"/>
      <c r="D265" s="8"/>
      <c r="F265" s="24"/>
    </row>
    <row r="266" spans="2:6" x14ac:dyDescent="0.3">
      <c r="B266" s="1"/>
      <c r="D266" s="8"/>
      <c r="F266" s="24"/>
    </row>
    <row r="267" spans="2:6" x14ac:dyDescent="0.3">
      <c r="B267" s="13"/>
      <c r="C267" s="169"/>
      <c r="D267" s="12"/>
      <c r="F267" s="15"/>
    </row>
    <row r="268" spans="2:6" ht="18" x14ac:dyDescent="0.3">
      <c r="B268" s="554" t="s">
        <v>22</v>
      </c>
      <c r="C268" s="555"/>
      <c r="D268" s="556"/>
      <c r="E268" s="557" t="s">
        <v>28</v>
      </c>
      <c r="F268" s="558"/>
    </row>
    <row r="269" spans="2:6" ht="15.6" x14ac:dyDescent="0.3">
      <c r="B269" s="31" t="s">
        <v>23</v>
      </c>
      <c r="C269" s="170"/>
      <c r="D269" s="32"/>
      <c r="E269" s="33" t="s">
        <v>29</v>
      </c>
      <c r="F269" s="34" t="s">
        <v>37</v>
      </c>
    </row>
    <row r="270" spans="2:6" ht="15.6" x14ac:dyDescent="0.3">
      <c r="B270" s="35" t="s">
        <v>24</v>
      </c>
      <c r="C270" s="28"/>
      <c r="D270" s="36" t="s">
        <v>41</v>
      </c>
      <c r="E270" s="26" t="s">
        <v>38</v>
      </c>
      <c r="F270" s="37"/>
    </row>
    <row r="271" spans="2:6" ht="15.6" x14ac:dyDescent="0.3">
      <c r="B271" s="35" t="s">
        <v>25</v>
      </c>
      <c r="C271" s="28"/>
      <c r="D271" s="36"/>
      <c r="E271" s="26" t="s">
        <v>30</v>
      </c>
      <c r="F271" s="27"/>
    </row>
    <row r="272" spans="2:6" ht="15.6" x14ac:dyDescent="0.3">
      <c r="B272" s="35" t="s">
        <v>26</v>
      </c>
      <c r="C272" s="28"/>
      <c r="D272" s="36"/>
      <c r="E272" s="26" t="s">
        <v>31</v>
      </c>
      <c r="F272" s="27"/>
    </row>
    <row r="273" spans="1:6" ht="15.6" x14ac:dyDescent="0.3">
      <c r="B273" s="35"/>
      <c r="C273" s="28"/>
      <c r="D273" s="36"/>
      <c r="E273" s="26"/>
      <c r="F273" s="27"/>
    </row>
    <row r="274" spans="1:6" ht="15.6" x14ac:dyDescent="0.3">
      <c r="B274" s="38"/>
      <c r="C274" s="171"/>
      <c r="D274" s="39"/>
      <c r="E274" s="28"/>
      <c r="F274" s="27"/>
    </row>
    <row r="275" spans="1:6" ht="15.6" x14ac:dyDescent="0.3">
      <c r="B275" s="40" t="s">
        <v>27</v>
      </c>
      <c r="C275" s="172"/>
      <c r="D275" s="41"/>
      <c r="E275" s="42"/>
      <c r="F275" s="27"/>
    </row>
    <row r="276" spans="1:6" ht="15.6" x14ac:dyDescent="0.3">
      <c r="B276" s="31"/>
      <c r="C276" s="170"/>
      <c r="D276" s="32"/>
      <c r="E276" s="28"/>
      <c r="F276" s="43"/>
    </row>
    <row r="277" spans="1:6" ht="15" thickBot="1" x14ac:dyDescent="0.35">
      <c r="B277" s="3"/>
      <c r="C277" s="4"/>
      <c r="D277" s="9"/>
      <c r="E277" s="4"/>
      <c r="F277" s="25"/>
    </row>
    <row r="283" spans="1:6" ht="28.8" x14ac:dyDescent="0.55000000000000004">
      <c r="C283" s="543" t="s">
        <v>58</v>
      </c>
      <c r="D283" s="543"/>
      <c r="E283" s="543"/>
      <c r="F283" s="543"/>
    </row>
    <row r="284" spans="1:6" ht="28.8" x14ac:dyDescent="0.55000000000000004">
      <c r="B284" s="55"/>
      <c r="C284" s="55"/>
      <c r="D284" s="55"/>
      <c r="E284" s="55"/>
    </row>
    <row r="285" spans="1:6" ht="25.8" x14ac:dyDescent="0.3">
      <c r="A285" s="194">
        <v>11</v>
      </c>
      <c r="D285" s="58" t="s">
        <v>59</v>
      </c>
      <c r="E285" s="57" t="str">
        <f>'Liste de projets '!B18</f>
        <v>Villa04/06-024/LT</v>
      </c>
    </row>
    <row r="286" spans="1:6" ht="23.4" x14ac:dyDescent="0.4">
      <c r="B286" s="14"/>
      <c r="C286" s="14"/>
      <c r="D286" s="559"/>
      <c r="E286" s="559"/>
    </row>
    <row r="287" spans="1:6" ht="15" thickBot="1" x14ac:dyDescent="0.35"/>
    <row r="288" spans="1:6" ht="18.600000000000001" thickBot="1" x14ac:dyDescent="0.35">
      <c r="A288" s="544" t="s">
        <v>33</v>
      </c>
      <c r="B288" s="560" t="s">
        <v>17</v>
      </c>
      <c r="C288" s="561"/>
      <c r="D288" s="562"/>
      <c r="E288" s="563" t="s">
        <v>21</v>
      </c>
      <c r="F288" s="564"/>
    </row>
    <row r="289" spans="2:6" ht="15.6" x14ac:dyDescent="0.3">
      <c r="B289" s="165" t="s">
        <v>18</v>
      </c>
      <c r="C289" s="168"/>
      <c r="D289" s="160" t="str">
        <f>'Liste de projets '!D18</f>
        <v>D'ALMEIDA</v>
      </c>
      <c r="E289" s="167"/>
      <c r="F289" s="140"/>
    </row>
    <row r="290" spans="2:6" ht="15.6" x14ac:dyDescent="0.3">
      <c r="B290" s="30" t="s">
        <v>19</v>
      </c>
      <c r="C290" s="41"/>
      <c r="D290" s="26" t="s">
        <v>699</v>
      </c>
      <c r="E290" s="139"/>
      <c r="F290" s="101"/>
    </row>
    <row r="291" spans="2:6" ht="15.6" x14ac:dyDescent="0.3">
      <c r="B291" s="30" t="s">
        <v>20</v>
      </c>
      <c r="C291" s="41"/>
      <c r="D291" s="26"/>
      <c r="E291" s="139"/>
      <c r="F291" s="101"/>
    </row>
    <row r="292" spans="2:6" ht="15.6" x14ac:dyDescent="0.3">
      <c r="B292" s="30"/>
      <c r="C292" s="41"/>
      <c r="D292" s="26"/>
      <c r="E292" s="28"/>
      <c r="F292" s="24"/>
    </row>
    <row r="293" spans="2:6" ht="15.6" x14ac:dyDescent="0.3">
      <c r="B293" s="30"/>
      <c r="C293" s="41"/>
      <c r="D293" s="26"/>
      <c r="E293" s="28"/>
      <c r="F293" s="24"/>
    </row>
    <row r="294" spans="2:6" ht="15.6" x14ac:dyDescent="0.3">
      <c r="B294" s="565" t="s">
        <v>762</v>
      </c>
      <c r="C294" s="566"/>
      <c r="D294" s="567"/>
      <c r="E294" s="28"/>
      <c r="F294" s="24"/>
    </row>
    <row r="295" spans="2:6" ht="15.6" x14ac:dyDescent="0.3">
      <c r="B295" s="31" t="s">
        <v>226</v>
      </c>
      <c r="C295" s="170"/>
      <c r="D295" s="32"/>
      <c r="E295" s="28"/>
      <c r="F295" s="24"/>
    </row>
    <row r="296" spans="2:6" x14ac:dyDescent="0.3">
      <c r="B296" s="1"/>
      <c r="D296" s="8"/>
      <c r="F296" s="24"/>
    </row>
    <row r="297" spans="2:6" x14ac:dyDescent="0.3">
      <c r="B297" s="1"/>
      <c r="D297" s="8"/>
      <c r="F297" s="24"/>
    </row>
    <row r="298" spans="2:6" x14ac:dyDescent="0.3">
      <c r="B298" s="1"/>
      <c r="D298" s="8"/>
      <c r="F298" s="24"/>
    </row>
    <row r="299" spans="2:6" x14ac:dyDescent="0.3">
      <c r="B299" s="1"/>
      <c r="D299" s="8"/>
      <c r="F299" s="24"/>
    </row>
    <row r="300" spans="2:6" x14ac:dyDescent="0.3">
      <c r="B300" s="13"/>
      <c r="C300" s="169"/>
      <c r="D300" s="12"/>
      <c r="F300" s="15"/>
    </row>
    <row r="301" spans="2:6" ht="18" x14ac:dyDescent="0.3">
      <c r="B301" s="554" t="s">
        <v>22</v>
      </c>
      <c r="C301" s="555"/>
      <c r="D301" s="556"/>
      <c r="E301" s="557" t="s">
        <v>28</v>
      </c>
      <c r="F301" s="558"/>
    </row>
    <row r="302" spans="2:6" ht="15.6" x14ac:dyDescent="0.3">
      <c r="B302" s="31" t="s">
        <v>23</v>
      </c>
      <c r="C302" s="170"/>
      <c r="D302" s="32"/>
      <c r="E302" s="33" t="s">
        <v>29</v>
      </c>
      <c r="F302" s="34" t="s">
        <v>37</v>
      </c>
    </row>
    <row r="303" spans="2:6" ht="15.6" x14ac:dyDescent="0.3">
      <c r="B303" s="35" t="s">
        <v>24</v>
      </c>
      <c r="C303" s="28"/>
      <c r="D303" s="36" t="s">
        <v>41</v>
      </c>
      <c r="E303" s="26" t="s">
        <v>38</v>
      </c>
      <c r="F303" s="37"/>
    </row>
    <row r="304" spans="2:6" ht="15.6" x14ac:dyDescent="0.3">
      <c r="B304" s="35" t="s">
        <v>25</v>
      </c>
      <c r="C304" s="28"/>
      <c r="D304" s="36"/>
      <c r="E304" s="26" t="s">
        <v>30</v>
      </c>
      <c r="F304" s="27"/>
    </row>
    <row r="305" spans="1:6" ht="15.6" x14ac:dyDescent="0.3">
      <c r="B305" s="35" t="s">
        <v>26</v>
      </c>
      <c r="C305" s="28"/>
      <c r="D305" s="36"/>
      <c r="E305" s="26" t="s">
        <v>31</v>
      </c>
      <c r="F305" s="27"/>
    </row>
    <row r="306" spans="1:6" ht="15.6" x14ac:dyDescent="0.3">
      <c r="B306" s="35"/>
      <c r="C306" s="28"/>
      <c r="D306" s="36"/>
      <c r="E306" s="26"/>
      <c r="F306" s="27"/>
    </row>
    <row r="307" spans="1:6" ht="15.6" x14ac:dyDescent="0.3">
      <c r="B307" s="38"/>
      <c r="C307" s="171"/>
      <c r="D307" s="39"/>
      <c r="E307" s="28"/>
      <c r="F307" s="27"/>
    </row>
    <row r="308" spans="1:6" ht="15.6" x14ac:dyDescent="0.3">
      <c r="B308" s="40" t="s">
        <v>27</v>
      </c>
      <c r="C308" s="172"/>
      <c r="D308" s="41"/>
      <c r="E308" s="42"/>
      <c r="F308" s="27"/>
    </row>
    <row r="309" spans="1:6" ht="15.6" x14ac:dyDescent="0.3">
      <c r="B309" s="31"/>
      <c r="C309" s="170"/>
      <c r="D309" s="32"/>
      <c r="E309" s="28"/>
      <c r="F309" s="43"/>
    </row>
    <row r="310" spans="1:6" ht="15" thickBot="1" x14ac:dyDescent="0.35">
      <c r="B310" s="3"/>
      <c r="C310" s="4"/>
      <c r="D310" s="9"/>
      <c r="E310" s="4"/>
      <c r="F310" s="25"/>
    </row>
    <row r="316" spans="1:6" ht="28.8" x14ac:dyDescent="0.55000000000000004">
      <c r="C316" s="543" t="s">
        <v>58</v>
      </c>
      <c r="D316" s="543"/>
      <c r="E316" s="543"/>
      <c r="F316" s="543"/>
    </row>
    <row r="317" spans="1:6" ht="28.8" x14ac:dyDescent="0.55000000000000004">
      <c r="B317" s="55"/>
      <c r="C317" s="55"/>
      <c r="D317" s="55"/>
      <c r="E317" s="55"/>
    </row>
    <row r="318" spans="1:6" ht="25.8" x14ac:dyDescent="0.3">
      <c r="A318" s="194">
        <v>12</v>
      </c>
      <c r="D318" s="58" t="s">
        <v>59</v>
      </c>
      <c r="E318" s="57" t="str">
        <f>'Liste de projets '!B17</f>
        <v>IR8/06-024/LT</v>
      </c>
    </row>
    <row r="319" spans="1:6" ht="23.4" x14ac:dyDescent="0.4">
      <c r="B319" s="14"/>
      <c r="C319" s="14"/>
      <c r="D319" s="559"/>
      <c r="E319" s="559"/>
    </row>
    <row r="320" spans="1:6" ht="15" thickBot="1" x14ac:dyDescent="0.35"/>
    <row r="321" spans="1:6" ht="18.600000000000001" thickBot="1" x14ac:dyDescent="0.35">
      <c r="A321" s="544" t="s">
        <v>33</v>
      </c>
      <c r="B321" s="560" t="s">
        <v>17</v>
      </c>
      <c r="C321" s="561"/>
      <c r="D321" s="562"/>
      <c r="E321" s="563" t="s">
        <v>21</v>
      </c>
      <c r="F321" s="564"/>
    </row>
    <row r="322" spans="1:6" ht="15.6" x14ac:dyDescent="0.3">
      <c r="B322" s="165" t="s">
        <v>18</v>
      </c>
      <c r="C322" s="168"/>
      <c r="D322" s="160" t="str">
        <f>'Liste de projets '!D17</f>
        <v>AGBOMSON</v>
      </c>
      <c r="E322" s="167"/>
      <c r="F322" s="140"/>
    </row>
    <row r="323" spans="1:6" ht="15.6" x14ac:dyDescent="0.3">
      <c r="B323" s="30" t="s">
        <v>19</v>
      </c>
      <c r="C323" s="41"/>
      <c r="D323" s="26" t="s">
        <v>699</v>
      </c>
      <c r="E323" s="139"/>
      <c r="F323" s="101"/>
    </row>
    <row r="324" spans="1:6" ht="15.6" x14ac:dyDescent="0.3">
      <c r="B324" s="30" t="s">
        <v>20</v>
      </c>
      <c r="C324" s="41"/>
      <c r="D324" s="26"/>
      <c r="E324" s="139"/>
      <c r="F324" s="101"/>
    </row>
    <row r="325" spans="1:6" ht="15.6" x14ac:dyDescent="0.3">
      <c r="B325" s="30"/>
      <c r="C325" s="41"/>
      <c r="D325" s="26"/>
      <c r="E325" s="28"/>
      <c r="F325" s="24"/>
    </row>
    <row r="326" spans="1:6" ht="15.6" x14ac:dyDescent="0.3">
      <c r="B326" s="30"/>
      <c r="C326" s="41"/>
      <c r="D326" s="26"/>
      <c r="E326" s="28"/>
      <c r="F326" s="24"/>
    </row>
    <row r="327" spans="1:6" ht="15.6" x14ac:dyDescent="0.3">
      <c r="B327" s="565" t="s">
        <v>763</v>
      </c>
      <c r="C327" s="566"/>
      <c r="D327" s="567"/>
      <c r="E327" s="28"/>
      <c r="F327" s="24"/>
    </row>
    <row r="328" spans="1:6" ht="15.6" x14ac:dyDescent="0.3">
      <c r="B328" s="31" t="s">
        <v>226</v>
      </c>
      <c r="C328" s="170"/>
      <c r="D328" s="32"/>
      <c r="E328" s="28"/>
      <c r="F328" s="24"/>
    </row>
    <row r="329" spans="1:6" x14ac:dyDescent="0.3">
      <c r="B329" s="1"/>
      <c r="D329" s="8"/>
      <c r="F329" s="24"/>
    </row>
    <row r="330" spans="1:6" x14ac:dyDescent="0.3">
      <c r="B330" s="1"/>
      <c r="D330" s="8"/>
      <c r="F330" s="24"/>
    </row>
    <row r="331" spans="1:6" x14ac:dyDescent="0.3">
      <c r="B331" s="1"/>
      <c r="D331" s="8"/>
      <c r="F331" s="24"/>
    </row>
    <row r="332" spans="1:6" x14ac:dyDescent="0.3">
      <c r="B332" s="1"/>
      <c r="D332" s="8"/>
      <c r="F332" s="24"/>
    </row>
    <row r="333" spans="1:6" x14ac:dyDescent="0.3">
      <c r="B333" s="13"/>
      <c r="C333" s="169"/>
      <c r="D333" s="12"/>
      <c r="F333" s="15"/>
    </row>
    <row r="334" spans="1:6" ht="18" x14ac:dyDescent="0.3">
      <c r="B334" s="554" t="s">
        <v>22</v>
      </c>
      <c r="C334" s="555"/>
      <c r="D334" s="556"/>
      <c r="E334" s="557" t="s">
        <v>28</v>
      </c>
      <c r="F334" s="558"/>
    </row>
    <row r="335" spans="1:6" ht="15.6" x14ac:dyDescent="0.3">
      <c r="B335" s="31" t="s">
        <v>23</v>
      </c>
      <c r="C335" s="170"/>
      <c r="D335" s="32"/>
      <c r="E335" s="33" t="s">
        <v>29</v>
      </c>
      <c r="F335" s="34" t="s">
        <v>37</v>
      </c>
    </row>
    <row r="336" spans="1:6" ht="15.6" x14ac:dyDescent="0.3">
      <c r="B336" s="35" t="s">
        <v>24</v>
      </c>
      <c r="C336" s="28"/>
      <c r="D336" s="36" t="s">
        <v>41</v>
      </c>
      <c r="E336" s="26" t="s">
        <v>38</v>
      </c>
      <c r="F336" s="37"/>
    </row>
    <row r="337" spans="1:6" ht="15.6" x14ac:dyDescent="0.3">
      <c r="B337" s="35" t="s">
        <v>25</v>
      </c>
      <c r="C337" s="28"/>
      <c r="D337" s="36"/>
      <c r="E337" s="26" t="s">
        <v>30</v>
      </c>
      <c r="F337" s="27"/>
    </row>
    <row r="338" spans="1:6" ht="15.6" x14ac:dyDescent="0.3">
      <c r="B338" s="35" t="s">
        <v>26</v>
      </c>
      <c r="C338" s="28"/>
      <c r="D338" s="36"/>
      <c r="E338" s="26" t="s">
        <v>31</v>
      </c>
      <c r="F338" s="27"/>
    </row>
    <row r="339" spans="1:6" ht="15.6" x14ac:dyDescent="0.3">
      <c r="B339" s="35"/>
      <c r="C339" s="28"/>
      <c r="D339" s="36"/>
      <c r="E339" s="26"/>
      <c r="F339" s="27"/>
    </row>
    <row r="340" spans="1:6" ht="15.6" x14ac:dyDescent="0.3">
      <c r="B340" s="38"/>
      <c r="C340" s="171"/>
      <c r="D340" s="39"/>
      <c r="E340" s="28"/>
      <c r="F340" s="27"/>
    </row>
    <row r="341" spans="1:6" ht="15.6" x14ac:dyDescent="0.3">
      <c r="B341" s="40" t="s">
        <v>27</v>
      </c>
      <c r="C341" s="172"/>
      <c r="D341" s="41"/>
      <c r="E341" s="42"/>
      <c r="F341" s="27"/>
    </row>
    <row r="342" spans="1:6" ht="15.6" x14ac:dyDescent="0.3">
      <c r="B342" s="31"/>
      <c r="C342" s="170"/>
      <c r="D342" s="32"/>
      <c r="E342" s="28"/>
      <c r="F342" s="43"/>
    </row>
    <row r="343" spans="1:6" ht="15" thickBot="1" x14ac:dyDescent="0.35">
      <c r="B343" s="3"/>
      <c r="C343" s="4"/>
      <c r="D343" s="9"/>
      <c r="E343" s="4"/>
      <c r="F343" s="25"/>
    </row>
    <row r="348" spans="1:6" ht="28.8" x14ac:dyDescent="0.55000000000000004">
      <c r="C348" s="543" t="s">
        <v>58</v>
      </c>
      <c r="D348" s="543"/>
      <c r="E348" s="543"/>
      <c r="F348" s="543"/>
    </row>
    <row r="349" spans="1:6" ht="28.8" x14ac:dyDescent="0.55000000000000004">
      <c r="B349" s="55"/>
      <c r="C349" s="55"/>
      <c r="D349" s="55"/>
      <c r="E349" s="55"/>
    </row>
    <row r="350" spans="1:6" ht="25.8" x14ac:dyDescent="0.3">
      <c r="A350" s="194">
        <v>13</v>
      </c>
      <c r="D350" s="58" t="s">
        <v>59</v>
      </c>
      <c r="E350" s="57" t="str">
        <f>'Liste de projets '!B16</f>
        <v>IR7/05-2024/LT</v>
      </c>
    </row>
    <row r="351" spans="1:6" ht="23.4" x14ac:dyDescent="0.4">
      <c r="B351" s="14"/>
      <c r="C351" s="14"/>
      <c r="D351" s="559"/>
      <c r="E351" s="559"/>
    </row>
    <row r="352" spans="1:6" ht="15" thickBot="1" x14ac:dyDescent="0.35"/>
    <row r="353" spans="1:6" ht="18.600000000000001" thickBot="1" x14ac:dyDescent="0.35">
      <c r="A353" s="544" t="s">
        <v>33</v>
      </c>
      <c r="B353" s="560" t="s">
        <v>17</v>
      </c>
      <c r="C353" s="561"/>
      <c r="D353" s="562"/>
      <c r="E353" s="563" t="s">
        <v>21</v>
      </c>
      <c r="F353" s="564"/>
    </row>
    <row r="354" spans="1:6" ht="15.6" x14ac:dyDescent="0.3">
      <c r="B354" s="165" t="s">
        <v>18</v>
      </c>
      <c r="C354" s="168"/>
      <c r="D354" s="160" t="s">
        <v>750</v>
      </c>
      <c r="E354" s="167"/>
      <c r="F354" s="140"/>
    </row>
    <row r="355" spans="1:6" ht="15.6" x14ac:dyDescent="0.3">
      <c r="B355" s="30" t="s">
        <v>19</v>
      </c>
      <c r="C355" s="41"/>
      <c r="D355" s="26" t="s">
        <v>699</v>
      </c>
      <c r="E355" s="139"/>
      <c r="F355" s="101"/>
    </row>
    <row r="356" spans="1:6" ht="15.6" x14ac:dyDescent="0.3">
      <c r="B356" s="30" t="s">
        <v>20</v>
      </c>
      <c r="C356" s="41"/>
      <c r="D356" s="26"/>
      <c r="E356" s="139"/>
      <c r="F356" s="101"/>
    </row>
    <row r="357" spans="1:6" ht="15.6" x14ac:dyDescent="0.3">
      <c r="B357" s="30"/>
      <c r="C357" s="41"/>
      <c r="D357" s="26"/>
      <c r="E357" s="28"/>
      <c r="F357" s="24"/>
    </row>
    <row r="358" spans="1:6" ht="15.6" x14ac:dyDescent="0.3">
      <c r="B358" s="30"/>
      <c r="C358" s="41"/>
      <c r="D358" s="26"/>
      <c r="E358" s="28"/>
      <c r="F358" s="24"/>
    </row>
    <row r="359" spans="1:6" ht="15.6" x14ac:dyDescent="0.3">
      <c r="B359" s="565" t="s">
        <v>764</v>
      </c>
      <c r="C359" s="566"/>
      <c r="D359" s="567"/>
      <c r="E359" s="28"/>
      <c r="F359" s="24"/>
    </row>
    <row r="360" spans="1:6" ht="15.6" x14ac:dyDescent="0.3">
      <c r="B360" s="31" t="s">
        <v>226</v>
      </c>
      <c r="C360" s="170"/>
      <c r="D360" s="32"/>
      <c r="E360" s="28"/>
      <c r="F360" s="24"/>
    </row>
    <row r="361" spans="1:6" x14ac:dyDescent="0.3">
      <c r="B361" s="1"/>
      <c r="D361" s="8"/>
      <c r="F361" s="24"/>
    </row>
    <row r="362" spans="1:6" x14ac:dyDescent="0.3">
      <c r="B362" s="1"/>
      <c r="D362" s="8"/>
      <c r="F362" s="24"/>
    </row>
    <row r="363" spans="1:6" x14ac:dyDescent="0.3">
      <c r="B363" s="1"/>
      <c r="D363" s="8"/>
      <c r="F363" s="24"/>
    </row>
    <row r="364" spans="1:6" x14ac:dyDescent="0.3">
      <c r="B364" s="1"/>
      <c r="D364" s="8"/>
      <c r="F364" s="24"/>
    </row>
    <row r="365" spans="1:6" x14ac:dyDescent="0.3">
      <c r="B365" s="13"/>
      <c r="C365" s="169"/>
      <c r="D365" s="12"/>
      <c r="F365" s="15"/>
    </row>
    <row r="366" spans="1:6" ht="18" x14ac:dyDescent="0.3">
      <c r="B366" s="554" t="s">
        <v>22</v>
      </c>
      <c r="C366" s="555"/>
      <c r="D366" s="556"/>
      <c r="E366" s="557" t="s">
        <v>28</v>
      </c>
      <c r="F366" s="558"/>
    </row>
    <row r="367" spans="1:6" ht="15.6" x14ac:dyDescent="0.3">
      <c r="B367" s="31" t="s">
        <v>23</v>
      </c>
      <c r="C367" s="170"/>
      <c r="D367" s="32"/>
      <c r="E367" s="33" t="s">
        <v>29</v>
      </c>
      <c r="F367" s="34" t="s">
        <v>37</v>
      </c>
    </row>
    <row r="368" spans="1:6" ht="15.6" x14ac:dyDescent="0.3">
      <c r="B368" s="35" t="s">
        <v>24</v>
      </c>
      <c r="C368" s="28"/>
      <c r="D368" s="36" t="s">
        <v>41</v>
      </c>
      <c r="E368" s="26" t="s">
        <v>38</v>
      </c>
      <c r="F368" s="37"/>
    </row>
    <row r="369" spans="1:6" ht="15.6" x14ac:dyDescent="0.3">
      <c r="B369" s="35" t="s">
        <v>25</v>
      </c>
      <c r="C369" s="28"/>
      <c r="D369" s="36"/>
      <c r="E369" s="26" t="s">
        <v>30</v>
      </c>
      <c r="F369" s="27"/>
    </row>
    <row r="370" spans="1:6" ht="15.6" x14ac:dyDescent="0.3">
      <c r="B370" s="35" t="s">
        <v>26</v>
      </c>
      <c r="C370" s="28"/>
      <c r="D370" s="36"/>
      <c r="E370" s="26" t="s">
        <v>31</v>
      </c>
      <c r="F370" s="27"/>
    </row>
    <row r="371" spans="1:6" ht="15.6" x14ac:dyDescent="0.3">
      <c r="B371" s="35"/>
      <c r="C371" s="28"/>
      <c r="D371" s="36"/>
      <c r="E371" s="26"/>
      <c r="F371" s="27"/>
    </row>
    <row r="372" spans="1:6" ht="15.6" x14ac:dyDescent="0.3">
      <c r="B372" s="38"/>
      <c r="C372" s="171"/>
      <c r="D372" s="39"/>
      <c r="E372" s="28"/>
      <c r="F372" s="27"/>
    </row>
    <row r="373" spans="1:6" ht="15.6" x14ac:dyDescent="0.3">
      <c r="B373" s="40" t="s">
        <v>27</v>
      </c>
      <c r="C373" s="172"/>
      <c r="D373" s="41"/>
      <c r="E373" s="42"/>
      <c r="F373" s="27"/>
    </row>
    <row r="374" spans="1:6" ht="15.6" x14ac:dyDescent="0.3">
      <c r="B374" s="31"/>
      <c r="C374" s="170"/>
      <c r="D374" s="32"/>
      <c r="E374" s="28"/>
      <c r="F374" s="43"/>
    </row>
    <row r="375" spans="1:6" ht="15" thickBot="1" x14ac:dyDescent="0.35">
      <c r="B375" s="3"/>
      <c r="C375" s="4"/>
      <c r="D375" s="9"/>
      <c r="E375" s="4"/>
      <c r="F375" s="25"/>
    </row>
    <row r="381" spans="1:6" ht="28.8" x14ac:dyDescent="0.55000000000000004">
      <c r="C381" s="543" t="s">
        <v>58</v>
      </c>
      <c r="D381" s="543"/>
      <c r="E381" s="543"/>
      <c r="F381" s="543"/>
    </row>
    <row r="382" spans="1:6" ht="28.8" x14ac:dyDescent="0.55000000000000004">
      <c r="B382" s="55"/>
      <c r="C382" s="55"/>
      <c r="D382" s="55"/>
      <c r="E382" s="55"/>
    </row>
    <row r="383" spans="1:6" ht="25.8" x14ac:dyDescent="0.3">
      <c r="A383" s="194">
        <v>14</v>
      </c>
      <c r="D383" s="58" t="s">
        <v>59</v>
      </c>
      <c r="E383" s="57" t="str">
        <f>'Liste de projets '!B15</f>
        <v>US01/03-025/LT</v>
      </c>
    </row>
    <row r="384" spans="1:6" ht="23.4" x14ac:dyDescent="0.4">
      <c r="B384" s="14"/>
      <c r="C384" s="14"/>
      <c r="D384" s="559"/>
      <c r="E384" s="559"/>
    </row>
    <row r="385" spans="1:6" ht="15" thickBot="1" x14ac:dyDescent="0.35"/>
    <row r="386" spans="1:6" ht="18.600000000000001" thickBot="1" x14ac:dyDescent="0.35">
      <c r="A386" s="544" t="s">
        <v>33</v>
      </c>
      <c r="B386" s="560" t="s">
        <v>17</v>
      </c>
      <c r="C386" s="561"/>
      <c r="D386" s="562"/>
      <c r="E386" s="563" t="s">
        <v>21</v>
      </c>
      <c r="F386" s="564"/>
    </row>
    <row r="387" spans="1:6" ht="15.6" x14ac:dyDescent="0.3">
      <c r="B387" s="165" t="s">
        <v>18</v>
      </c>
      <c r="C387" s="168"/>
      <c r="D387" s="160" t="str">
        <f>'Liste de projets '!D15</f>
        <v>SOFINA</v>
      </c>
      <c r="E387" s="167"/>
      <c r="F387" s="140"/>
    </row>
    <row r="388" spans="1:6" ht="15.6" x14ac:dyDescent="0.3">
      <c r="B388" s="30" t="s">
        <v>19</v>
      </c>
      <c r="C388" s="41"/>
      <c r="D388" s="26" t="s">
        <v>699</v>
      </c>
      <c r="E388" s="139"/>
      <c r="F388" s="101"/>
    </row>
    <row r="389" spans="1:6" ht="15.6" x14ac:dyDescent="0.3">
      <c r="B389" s="30" t="s">
        <v>20</v>
      </c>
      <c r="C389" s="41"/>
      <c r="D389" s="26"/>
      <c r="E389" s="139"/>
      <c r="F389" s="101"/>
    </row>
    <row r="390" spans="1:6" ht="15.6" x14ac:dyDescent="0.3">
      <c r="B390" s="30"/>
      <c r="C390" s="41"/>
      <c r="D390" s="26"/>
      <c r="E390" s="28"/>
      <c r="F390" s="24"/>
    </row>
    <row r="391" spans="1:6" ht="15.6" x14ac:dyDescent="0.3">
      <c r="B391" s="30"/>
      <c r="C391" s="41"/>
      <c r="D391" s="26"/>
      <c r="E391" s="28"/>
      <c r="F391" s="24"/>
    </row>
    <row r="392" spans="1:6" ht="15.6" x14ac:dyDescent="0.3">
      <c r="B392" s="565" t="s">
        <v>765</v>
      </c>
      <c r="C392" s="566"/>
      <c r="D392" s="567"/>
      <c r="E392" s="28"/>
      <c r="F392" s="24"/>
    </row>
    <row r="393" spans="1:6" ht="15.6" x14ac:dyDescent="0.3">
      <c r="B393" s="31" t="s">
        <v>226</v>
      </c>
      <c r="C393" s="170"/>
      <c r="D393" s="32"/>
      <c r="E393" s="28"/>
      <c r="F393" s="24"/>
    </row>
    <row r="394" spans="1:6" x14ac:dyDescent="0.3">
      <c r="B394" s="1"/>
      <c r="D394" s="8"/>
      <c r="F394" s="24"/>
    </row>
    <row r="395" spans="1:6" x14ac:dyDescent="0.3">
      <c r="B395" s="1"/>
      <c r="D395" s="8"/>
      <c r="F395" s="24"/>
    </row>
    <row r="396" spans="1:6" x14ac:dyDescent="0.3">
      <c r="B396" s="1"/>
      <c r="D396" s="8"/>
      <c r="F396" s="24"/>
    </row>
    <row r="397" spans="1:6" x14ac:dyDescent="0.3">
      <c r="B397" s="1"/>
      <c r="D397" s="8"/>
      <c r="F397" s="24"/>
    </row>
    <row r="398" spans="1:6" x14ac:dyDescent="0.3">
      <c r="B398" s="13"/>
      <c r="C398" s="169"/>
      <c r="D398" s="12"/>
      <c r="F398" s="15"/>
    </row>
    <row r="399" spans="1:6" ht="18" x14ac:dyDescent="0.3">
      <c r="B399" s="554" t="s">
        <v>22</v>
      </c>
      <c r="C399" s="555"/>
      <c r="D399" s="556"/>
      <c r="E399" s="557" t="s">
        <v>28</v>
      </c>
      <c r="F399" s="558"/>
    </row>
    <row r="400" spans="1:6" ht="15.6" x14ac:dyDescent="0.3">
      <c r="B400" s="31" t="s">
        <v>23</v>
      </c>
      <c r="C400" s="170"/>
      <c r="D400" s="32"/>
      <c r="E400" s="33" t="s">
        <v>29</v>
      </c>
      <c r="F400" s="34" t="s">
        <v>37</v>
      </c>
    </row>
    <row r="401" spans="2:6" ht="15.6" x14ac:dyDescent="0.3">
      <c r="B401" s="35" t="s">
        <v>24</v>
      </c>
      <c r="C401" s="28"/>
      <c r="D401" s="36" t="s">
        <v>41</v>
      </c>
      <c r="E401" s="26" t="s">
        <v>38</v>
      </c>
      <c r="F401" s="37"/>
    </row>
    <row r="402" spans="2:6" ht="15.6" x14ac:dyDescent="0.3">
      <c r="B402" s="35" t="s">
        <v>25</v>
      </c>
      <c r="C402" s="28"/>
      <c r="D402" s="36"/>
      <c r="E402" s="26" t="s">
        <v>30</v>
      </c>
      <c r="F402" s="27"/>
    </row>
    <row r="403" spans="2:6" ht="15.6" x14ac:dyDescent="0.3">
      <c r="B403" s="35" t="s">
        <v>26</v>
      </c>
      <c r="C403" s="28"/>
      <c r="D403" s="36"/>
      <c r="E403" s="26" t="s">
        <v>31</v>
      </c>
      <c r="F403" s="27"/>
    </row>
    <row r="404" spans="2:6" ht="15.6" x14ac:dyDescent="0.3">
      <c r="B404" s="35"/>
      <c r="C404" s="28"/>
      <c r="D404" s="36"/>
      <c r="E404" s="26"/>
      <c r="F404" s="27"/>
    </row>
    <row r="405" spans="2:6" ht="15.6" x14ac:dyDescent="0.3">
      <c r="B405" s="38"/>
      <c r="C405" s="171"/>
      <c r="D405" s="39"/>
      <c r="E405" s="28"/>
      <c r="F405" s="27"/>
    </row>
    <row r="406" spans="2:6" ht="15.6" x14ac:dyDescent="0.3">
      <c r="B406" s="40" t="s">
        <v>27</v>
      </c>
      <c r="C406" s="172"/>
      <c r="D406" s="41"/>
      <c r="E406" s="42"/>
      <c r="F406" s="27"/>
    </row>
    <row r="407" spans="2:6" ht="15.6" x14ac:dyDescent="0.3">
      <c r="B407" s="31"/>
      <c r="C407" s="170"/>
      <c r="D407" s="32"/>
      <c r="E407" s="28"/>
      <c r="F407" s="43"/>
    </row>
    <row r="408" spans="2:6" ht="15" thickBot="1" x14ac:dyDescent="0.35">
      <c r="B408" s="3"/>
      <c r="C408" s="4"/>
      <c r="D408" s="9"/>
      <c r="E408" s="4"/>
      <c r="F408" s="25"/>
    </row>
    <row r="415" spans="2:6" ht="28.8" x14ac:dyDescent="0.55000000000000004">
      <c r="C415" s="543" t="s">
        <v>58</v>
      </c>
      <c r="D415" s="543"/>
      <c r="E415" s="543"/>
      <c r="F415" s="543"/>
    </row>
    <row r="416" spans="2:6" ht="28.8" x14ac:dyDescent="0.55000000000000004">
      <c r="B416" s="55"/>
      <c r="C416" s="55"/>
      <c r="D416" s="55"/>
      <c r="E416" s="55"/>
    </row>
    <row r="417" spans="1:6" ht="25.8" x14ac:dyDescent="0.3">
      <c r="A417" s="194">
        <v>15</v>
      </c>
      <c r="D417" s="58" t="s">
        <v>59</v>
      </c>
      <c r="E417" s="57" t="str">
        <f>'Liste de projets '!B14</f>
        <v>Villa06/02-025/LT</v>
      </c>
    </row>
    <row r="418" spans="1:6" ht="23.4" x14ac:dyDescent="0.4">
      <c r="B418" s="14"/>
      <c r="C418" s="14"/>
      <c r="D418" s="559"/>
      <c r="E418" s="559"/>
    </row>
    <row r="419" spans="1:6" ht="15" thickBot="1" x14ac:dyDescent="0.35"/>
    <row r="420" spans="1:6" ht="18.600000000000001" thickBot="1" x14ac:dyDescent="0.35">
      <c r="A420" s="544" t="s">
        <v>33</v>
      </c>
      <c r="B420" s="560" t="s">
        <v>17</v>
      </c>
      <c r="C420" s="561"/>
      <c r="D420" s="562"/>
      <c r="E420" s="563" t="s">
        <v>21</v>
      </c>
      <c r="F420" s="564"/>
    </row>
    <row r="421" spans="1:6" ht="15.6" x14ac:dyDescent="0.3">
      <c r="B421" s="165" t="s">
        <v>18</v>
      </c>
      <c r="C421" s="168"/>
      <c r="D421" s="160" t="str">
        <f>'Liste de projets '!D14</f>
        <v>M SODATONOU</v>
      </c>
      <c r="E421" s="167"/>
      <c r="F421" s="140"/>
    </row>
    <row r="422" spans="1:6" ht="15.6" x14ac:dyDescent="0.3">
      <c r="B422" s="30" t="s">
        <v>19</v>
      </c>
      <c r="C422" s="41"/>
      <c r="D422" s="26" t="s">
        <v>699</v>
      </c>
      <c r="E422" s="139"/>
      <c r="F422" s="101"/>
    </row>
    <row r="423" spans="1:6" ht="15.6" x14ac:dyDescent="0.3">
      <c r="B423" s="30" t="s">
        <v>20</v>
      </c>
      <c r="C423" s="41"/>
      <c r="D423" s="26"/>
      <c r="E423" s="139"/>
      <c r="F423" s="101"/>
    </row>
    <row r="424" spans="1:6" ht="15.6" x14ac:dyDescent="0.3">
      <c r="B424" s="30"/>
      <c r="C424" s="41"/>
      <c r="D424" s="26"/>
      <c r="E424" s="28"/>
      <c r="F424" s="24"/>
    </row>
    <row r="425" spans="1:6" ht="15.6" x14ac:dyDescent="0.3">
      <c r="B425" s="30"/>
      <c r="C425" s="41"/>
      <c r="D425" s="26"/>
      <c r="E425" s="28"/>
      <c r="F425" s="24"/>
    </row>
    <row r="426" spans="1:6" ht="15.6" x14ac:dyDescent="0.3">
      <c r="B426" s="565" t="s">
        <v>766</v>
      </c>
      <c r="C426" s="566"/>
      <c r="D426" s="567"/>
      <c r="E426" s="28"/>
      <c r="F426" s="24"/>
    </row>
    <row r="427" spans="1:6" ht="15.6" x14ac:dyDescent="0.3">
      <c r="B427" s="31" t="s">
        <v>226</v>
      </c>
      <c r="C427" s="170"/>
      <c r="D427" s="32"/>
      <c r="E427" s="28"/>
      <c r="F427" s="24"/>
    </row>
    <row r="428" spans="1:6" x14ac:dyDescent="0.3">
      <c r="B428" s="1"/>
      <c r="D428" s="8"/>
      <c r="F428" s="24"/>
    </row>
    <row r="429" spans="1:6" x14ac:dyDescent="0.3">
      <c r="B429" s="1"/>
      <c r="D429" s="8"/>
      <c r="F429" s="24"/>
    </row>
    <row r="430" spans="1:6" x14ac:dyDescent="0.3">
      <c r="B430" s="1"/>
      <c r="D430" s="8"/>
      <c r="F430" s="24"/>
    </row>
    <row r="431" spans="1:6" x14ac:dyDescent="0.3">
      <c r="B431" s="1"/>
      <c r="D431" s="8"/>
      <c r="F431" s="24"/>
    </row>
    <row r="432" spans="1:6" x14ac:dyDescent="0.3">
      <c r="B432" s="13"/>
      <c r="C432" s="169"/>
      <c r="D432" s="12"/>
      <c r="F432" s="15"/>
    </row>
    <row r="433" spans="2:6" ht="18" x14ac:dyDescent="0.3">
      <c r="B433" s="554" t="s">
        <v>22</v>
      </c>
      <c r="C433" s="555"/>
      <c r="D433" s="556"/>
      <c r="E433" s="557" t="s">
        <v>28</v>
      </c>
      <c r="F433" s="558"/>
    </row>
    <row r="434" spans="2:6" ht="15.6" x14ac:dyDescent="0.3">
      <c r="B434" s="31" t="s">
        <v>23</v>
      </c>
      <c r="C434" s="170"/>
      <c r="D434" s="32"/>
      <c r="E434" s="33" t="s">
        <v>29</v>
      </c>
      <c r="F434" s="34" t="s">
        <v>37</v>
      </c>
    </row>
    <row r="435" spans="2:6" ht="15.6" x14ac:dyDescent="0.3">
      <c r="B435" s="35" t="s">
        <v>24</v>
      </c>
      <c r="C435" s="28"/>
      <c r="D435" s="36" t="s">
        <v>41</v>
      </c>
      <c r="E435" s="26" t="s">
        <v>38</v>
      </c>
      <c r="F435" s="37"/>
    </row>
    <row r="436" spans="2:6" ht="15.6" x14ac:dyDescent="0.3">
      <c r="B436" s="35" t="s">
        <v>25</v>
      </c>
      <c r="C436" s="28"/>
      <c r="D436" s="36"/>
      <c r="E436" s="26" t="s">
        <v>30</v>
      </c>
      <c r="F436" s="27"/>
    </row>
    <row r="437" spans="2:6" ht="15.6" x14ac:dyDescent="0.3">
      <c r="B437" s="35" t="s">
        <v>26</v>
      </c>
      <c r="C437" s="28"/>
      <c r="D437" s="36"/>
      <c r="E437" s="26" t="s">
        <v>31</v>
      </c>
      <c r="F437" s="27"/>
    </row>
    <row r="438" spans="2:6" ht="15.6" x14ac:dyDescent="0.3">
      <c r="B438" s="35"/>
      <c r="C438" s="28"/>
      <c r="D438" s="36"/>
      <c r="E438" s="26"/>
      <c r="F438" s="27"/>
    </row>
    <row r="439" spans="2:6" ht="15.6" x14ac:dyDescent="0.3">
      <c r="B439" s="38"/>
      <c r="C439" s="171"/>
      <c r="D439" s="39"/>
      <c r="E439" s="28"/>
      <c r="F439" s="27"/>
    </row>
    <row r="440" spans="2:6" ht="15.6" x14ac:dyDescent="0.3">
      <c r="B440" s="40" t="s">
        <v>27</v>
      </c>
      <c r="C440" s="172"/>
      <c r="D440" s="41"/>
      <c r="E440" s="42"/>
      <c r="F440" s="27"/>
    </row>
    <row r="441" spans="2:6" ht="15.6" x14ac:dyDescent="0.3">
      <c r="B441" s="31"/>
      <c r="C441" s="170"/>
      <c r="D441" s="32"/>
      <c r="E441" s="28"/>
      <c r="F441" s="43"/>
    </row>
    <row r="442" spans="2:6" ht="15" thickBot="1" x14ac:dyDescent="0.35">
      <c r="B442" s="3"/>
      <c r="C442" s="4"/>
      <c r="D442" s="9"/>
      <c r="E442" s="4"/>
      <c r="F442" s="25"/>
    </row>
    <row r="448" spans="2:6" ht="28.8" x14ac:dyDescent="0.55000000000000004">
      <c r="C448" s="543" t="s">
        <v>58</v>
      </c>
      <c r="D448" s="543"/>
      <c r="E448" s="543"/>
      <c r="F448" s="543"/>
    </row>
    <row r="449" spans="1:6" ht="28.8" x14ac:dyDescent="0.55000000000000004">
      <c r="B449" s="55"/>
      <c r="C449" s="55"/>
      <c r="D449" s="55"/>
      <c r="E449" s="55"/>
    </row>
    <row r="450" spans="1:6" ht="25.8" x14ac:dyDescent="0.3">
      <c r="A450" s="194">
        <v>16</v>
      </c>
      <c r="D450" s="58" t="s">
        <v>59</v>
      </c>
      <c r="E450" s="57" t="str">
        <f>'Liste de projets '!B13</f>
        <v>RES/..-.../IN</v>
      </c>
    </row>
    <row r="451" spans="1:6" ht="30.6" customHeight="1" x14ac:dyDescent="0.4">
      <c r="B451" s="14"/>
      <c r="C451" s="14"/>
      <c r="D451" s="559"/>
      <c r="E451" s="559"/>
    </row>
    <row r="452" spans="1:6" ht="15" thickBot="1" x14ac:dyDescent="0.35"/>
    <row r="453" spans="1:6" ht="18.600000000000001" thickBot="1" x14ac:dyDescent="0.35">
      <c r="A453" s="544" t="s">
        <v>33</v>
      </c>
      <c r="B453" s="560" t="s">
        <v>17</v>
      </c>
      <c r="C453" s="561"/>
      <c r="D453" s="562"/>
      <c r="E453" s="563" t="s">
        <v>21</v>
      </c>
      <c r="F453" s="564"/>
    </row>
    <row r="454" spans="1:6" ht="15.6" x14ac:dyDescent="0.3">
      <c r="B454" s="165" t="s">
        <v>18</v>
      </c>
      <c r="C454" s="168"/>
      <c r="D454" s="160" t="str">
        <f>'Liste de projets '!D13</f>
        <v>Ministre</v>
      </c>
      <c r="E454" s="167"/>
      <c r="F454" s="140"/>
    </row>
    <row r="455" spans="1:6" ht="15.6" x14ac:dyDescent="0.3">
      <c r="B455" s="30" t="s">
        <v>19</v>
      </c>
      <c r="C455" s="41"/>
      <c r="D455" s="26" t="s">
        <v>699</v>
      </c>
      <c r="E455" s="139"/>
      <c r="F455" s="101"/>
    </row>
    <row r="456" spans="1:6" ht="15.6" x14ac:dyDescent="0.3">
      <c r="B456" s="30" t="s">
        <v>20</v>
      </c>
      <c r="C456" s="41"/>
      <c r="D456" s="26"/>
      <c r="E456" s="139"/>
      <c r="F456" s="101"/>
    </row>
    <row r="457" spans="1:6" ht="15.6" x14ac:dyDescent="0.3">
      <c r="B457" s="30"/>
      <c r="C457" s="41"/>
      <c r="D457" s="26"/>
      <c r="E457" s="28"/>
      <c r="F457" s="24"/>
    </row>
    <row r="458" spans="1:6" ht="15.6" x14ac:dyDescent="0.3">
      <c r="B458" s="30"/>
      <c r="C458" s="41"/>
      <c r="D458" s="26"/>
      <c r="E458" s="28"/>
      <c r="F458" s="24"/>
    </row>
    <row r="459" spans="1:6" ht="15.6" x14ac:dyDescent="0.3">
      <c r="B459" s="551" t="s">
        <v>767</v>
      </c>
      <c r="C459" s="552"/>
      <c r="D459" s="553"/>
      <c r="E459" s="28"/>
      <c r="F459" s="24"/>
    </row>
    <row r="460" spans="1:6" ht="15.6" x14ac:dyDescent="0.3">
      <c r="B460" s="31" t="s">
        <v>226</v>
      </c>
      <c r="C460" s="170"/>
      <c r="D460" s="32"/>
      <c r="E460" s="28"/>
      <c r="F460" s="24"/>
    </row>
    <row r="461" spans="1:6" x14ac:dyDescent="0.3">
      <c r="B461" s="1"/>
      <c r="D461" s="8"/>
      <c r="F461" s="24"/>
    </row>
    <row r="462" spans="1:6" x14ac:dyDescent="0.3">
      <c r="B462" s="1"/>
      <c r="D462" s="8"/>
      <c r="F462" s="24"/>
    </row>
    <row r="463" spans="1:6" x14ac:dyDescent="0.3">
      <c r="B463" s="1"/>
      <c r="D463" s="8"/>
      <c r="F463" s="24"/>
    </row>
    <row r="464" spans="1:6" x14ac:dyDescent="0.3">
      <c r="B464" s="1"/>
      <c r="D464" s="8"/>
      <c r="F464" s="24"/>
    </row>
    <row r="465" spans="2:6" x14ac:dyDescent="0.3">
      <c r="B465" s="13"/>
      <c r="C465" s="169"/>
      <c r="D465" s="12"/>
      <c r="F465" s="15"/>
    </row>
    <row r="466" spans="2:6" ht="18" x14ac:dyDescent="0.3">
      <c r="B466" s="554" t="s">
        <v>22</v>
      </c>
      <c r="C466" s="555"/>
      <c r="D466" s="556"/>
      <c r="E466" s="557" t="s">
        <v>28</v>
      </c>
      <c r="F466" s="558"/>
    </row>
    <row r="467" spans="2:6" ht="15.6" x14ac:dyDescent="0.3">
      <c r="B467" s="31" t="s">
        <v>23</v>
      </c>
      <c r="C467" s="170"/>
      <c r="D467" s="32"/>
      <c r="E467" s="33" t="s">
        <v>29</v>
      </c>
      <c r="F467" s="34" t="s">
        <v>37</v>
      </c>
    </row>
    <row r="468" spans="2:6" ht="15.6" x14ac:dyDescent="0.3">
      <c r="B468" s="35" t="s">
        <v>24</v>
      </c>
      <c r="C468" s="28"/>
      <c r="D468" s="36" t="s">
        <v>41</v>
      </c>
      <c r="E468" s="26" t="s">
        <v>38</v>
      </c>
      <c r="F468" s="37"/>
    </row>
    <row r="469" spans="2:6" ht="15.6" x14ac:dyDescent="0.3">
      <c r="B469" s="35" t="s">
        <v>25</v>
      </c>
      <c r="C469" s="28"/>
      <c r="D469" s="36"/>
      <c r="E469" s="26" t="s">
        <v>30</v>
      </c>
      <c r="F469" s="27"/>
    </row>
    <row r="470" spans="2:6" ht="15.6" x14ac:dyDescent="0.3">
      <c r="B470" s="35" t="s">
        <v>26</v>
      </c>
      <c r="C470" s="28"/>
      <c r="D470" s="36"/>
      <c r="E470" s="26" t="s">
        <v>31</v>
      </c>
      <c r="F470" s="27"/>
    </row>
    <row r="471" spans="2:6" ht="15.6" x14ac:dyDescent="0.3">
      <c r="B471" s="35"/>
      <c r="C471" s="28"/>
      <c r="D471" s="36"/>
      <c r="E471" s="26"/>
      <c r="F471" s="27"/>
    </row>
    <row r="472" spans="2:6" ht="15.6" x14ac:dyDescent="0.3">
      <c r="B472" s="38"/>
      <c r="C472" s="171"/>
      <c r="D472" s="39"/>
      <c r="E472" s="28"/>
      <c r="F472" s="27"/>
    </row>
    <row r="473" spans="2:6" ht="15.6" x14ac:dyDescent="0.3">
      <c r="B473" s="40" t="s">
        <v>27</v>
      </c>
      <c r="C473" s="172"/>
      <c r="D473" s="41"/>
      <c r="E473" s="42"/>
      <c r="F473" s="27"/>
    </row>
    <row r="474" spans="2:6" ht="15.6" x14ac:dyDescent="0.3">
      <c r="B474" s="31"/>
      <c r="C474" s="170"/>
      <c r="D474" s="32"/>
      <c r="E474" s="28"/>
      <c r="F474" s="43"/>
    </row>
    <row r="475" spans="2:6" ht="15" thickBot="1" x14ac:dyDescent="0.35">
      <c r="B475" s="3"/>
      <c r="C475" s="4"/>
      <c r="D475" s="9"/>
      <c r="E475" s="4"/>
      <c r="F475" s="25"/>
    </row>
    <row r="482" spans="1:6" ht="28.8" x14ac:dyDescent="0.55000000000000004">
      <c r="C482" s="543" t="s">
        <v>58</v>
      </c>
      <c r="D482" s="543"/>
      <c r="E482" s="543"/>
      <c r="F482" s="543"/>
    </row>
    <row r="483" spans="1:6" ht="28.8" x14ac:dyDescent="0.55000000000000004">
      <c r="B483" s="55"/>
      <c r="C483" s="55"/>
      <c r="D483" s="55"/>
      <c r="E483" s="55"/>
    </row>
    <row r="484" spans="1:6" ht="25.8" x14ac:dyDescent="0.3">
      <c r="A484" s="194">
        <v>17</v>
      </c>
      <c r="D484" s="58" t="s">
        <v>59</v>
      </c>
      <c r="E484" s="57" t="str">
        <f>'Liste de projets '!B12</f>
        <v>IND/..-.../IN</v>
      </c>
    </row>
    <row r="485" spans="1:6" ht="23.4" x14ac:dyDescent="0.4">
      <c r="B485" s="14"/>
      <c r="C485" s="14"/>
      <c r="D485" s="559"/>
      <c r="E485" s="559"/>
    </row>
    <row r="486" spans="1:6" ht="15" thickBot="1" x14ac:dyDescent="0.35"/>
    <row r="487" spans="1:6" ht="18.600000000000001" thickBot="1" x14ac:dyDescent="0.35">
      <c r="A487" s="544" t="s">
        <v>33</v>
      </c>
      <c r="B487" s="560" t="s">
        <v>17</v>
      </c>
      <c r="C487" s="561"/>
      <c r="D487" s="562"/>
      <c r="E487" s="563" t="s">
        <v>21</v>
      </c>
      <c r="F487" s="564"/>
    </row>
    <row r="488" spans="1:6" ht="15.6" x14ac:dyDescent="0.3">
      <c r="B488" s="165" t="s">
        <v>18</v>
      </c>
      <c r="C488" s="168"/>
      <c r="D488" s="160" t="str">
        <f>'Liste de projets '!D12</f>
        <v>Mairie Amou Oblo</v>
      </c>
      <c r="E488" s="167"/>
      <c r="F488" s="140"/>
    </row>
    <row r="489" spans="1:6" ht="15.6" x14ac:dyDescent="0.3">
      <c r="B489" s="30" t="s">
        <v>19</v>
      </c>
      <c r="C489" s="41"/>
      <c r="D489" s="26" t="s">
        <v>699</v>
      </c>
      <c r="E489" s="139"/>
      <c r="F489" s="101"/>
    </row>
    <row r="490" spans="1:6" ht="15.6" x14ac:dyDescent="0.3">
      <c r="B490" s="30" t="s">
        <v>20</v>
      </c>
      <c r="C490" s="41"/>
      <c r="D490" s="26"/>
      <c r="E490" s="139"/>
      <c r="F490" s="101"/>
    </row>
    <row r="491" spans="1:6" ht="15.6" x14ac:dyDescent="0.3">
      <c r="B491" s="30"/>
      <c r="C491" s="41"/>
      <c r="D491" s="26"/>
      <c r="E491" s="28"/>
      <c r="F491" s="24"/>
    </row>
    <row r="492" spans="1:6" ht="15.6" x14ac:dyDescent="0.3">
      <c r="B492" s="30"/>
      <c r="C492" s="41"/>
      <c r="D492" s="26"/>
      <c r="E492" s="28"/>
      <c r="F492" s="24"/>
    </row>
    <row r="493" spans="1:6" ht="15.6" x14ac:dyDescent="0.3">
      <c r="B493" s="551" t="s">
        <v>768</v>
      </c>
      <c r="C493" s="552"/>
      <c r="D493" s="553"/>
      <c r="E493" s="28"/>
      <c r="F493" s="24"/>
    </row>
    <row r="494" spans="1:6" ht="15.6" x14ac:dyDescent="0.3">
      <c r="B494" s="31" t="s">
        <v>226</v>
      </c>
      <c r="C494" s="170"/>
      <c r="D494" s="32"/>
      <c r="E494" s="28"/>
      <c r="F494" s="24"/>
    </row>
    <row r="495" spans="1:6" x14ac:dyDescent="0.3">
      <c r="B495" s="1"/>
      <c r="D495" s="8"/>
      <c r="F495" s="24"/>
    </row>
    <row r="496" spans="1:6" x14ac:dyDescent="0.3">
      <c r="B496" s="1"/>
      <c r="D496" s="8"/>
      <c r="F496" s="24"/>
    </row>
    <row r="497" spans="2:6" x14ac:dyDescent="0.3">
      <c r="B497" s="1"/>
      <c r="D497" s="8"/>
      <c r="F497" s="24"/>
    </row>
    <row r="498" spans="2:6" x14ac:dyDescent="0.3">
      <c r="B498" s="1"/>
      <c r="D498" s="8"/>
      <c r="F498" s="24"/>
    </row>
    <row r="499" spans="2:6" x14ac:dyDescent="0.3">
      <c r="B499" s="13"/>
      <c r="C499" s="169"/>
      <c r="D499" s="12"/>
      <c r="F499" s="15"/>
    </row>
    <row r="500" spans="2:6" ht="18" x14ac:dyDescent="0.3">
      <c r="B500" s="554" t="s">
        <v>22</v>
      </c>
      <c r="C500" s="555"/>
      <c r="D500" s="556"/>
      <c r="E500" s="557" t="s">
        <v>28</v>
      </c>
      <c r="F500" s="558"/>
    </row>
    <row r="501" spans="2:6" ht="15.6" x14ac:dyDescent="0.3">
      <c r="B501" s="31" t="s">
        <v>23</v>
      </c>
      <c r="C501" s="170"/>
      <c r="D501" s="32"/>
      <c r="E501" s="33" t="s">
        <v>29</v>
      </c>
      <c r="F501" s="34" t="s">
        <v>37</v>
      </c>
    </row>
    <row r="502" spans="2:6" ht="15.6" x14ac:dyDescent="0.3">
      <c r="B502" s="35" t="s">
        <v>24</v>
      </c>
      <c r="C502" s="28"/>
      <c r="D502" s="36" t="s">
        <v>41</v>
      </c>
      <c r="E502" s="26" t="s">
        <v>38</v>
      </c>
      <c r="F502" s="37"/>
    </row>
    <row r="503" spans="2:6" ht="15.6" x14ac:dyDescent="0.3">
      <c r="B503" s="35" t="s">
        <v>25</v>
      </c>
      <c r="C503" s="28"/>
      <c r="D503" s="36"/>
      <c r="E503" s="26" t="s">
        <v>30</v>
      </c>
      <c r="F503" s="27"/>
    </row>
    <row r="504" spans="2:6" ht="15.6" x14ac:dyDescent="0.3">
      <c r="B504" s="35" t="s">
        <v>26</v>
      </c>
      <c r="C504" s="28"/>
      <c r="D504" s="36"/>
      <c r="E504" s="26" t="s">
        <v>31</v>
      </c>
      <c r="F504" s="27"/>
    </row>
    <row r="505" spans="2:6" ht="15.6" x14ac:dyDescent="0.3">
      <c r="B505" s="35"/>
      <c r="C505" s="28"/>
      <c r="D505" s="36"/>
      <c r="E505" s="26"/>
      <c r="F505" s="27"/>
    </row>
    <row r="506" spans="2:6" ht="15.6" x14ac:dyDescent="0.3">
      <c r="B506" s="38"/>
      <c r="C506" s="171"/>
      <c r="D506" s="39"/>
      <c r="E506" s="28"/>
      <c r="F506" s="27"/>
    </row>
    <row r="507" spans="2:6" ht="15.6" x14ac:dyDescent="0.3">
      <c r="B507" s="40" t="s">
        <v>27</v>
      </c>
      <c r="C507" s="172"/>
      <c r="D507" s="41"/>
      <c r="E507" s="42"/>
      <c r="F507" s="27"/>
    </row>
    <row r="508" spans="2:6" ht="15.6" x14ac:dyDescent="0.3">
      <c r="B508" s="31"/>
      <c r="C508" s="170"/>
      <c r="D508" s="32"/>
      <c r="E508" s="28"/>
      <c r="F508" s="43"/>
    </row>
    <row r="509" spans="2:6" ht="15" thickBot="1" x14ac:dyDescent="0.35">
      <c r="B509" s="3"/>
      <c r="C509" s="4"/>
      <c r="D509" s="9"/>
      <c r="E509" s="4"/>
      <c r="F509" s="25"/>
    </row>
    <row r="516" spans="1:6" ht="28.8" x14ac:dyDescent="0.55000000000000004">
      <c r="C516" s="543" t="s">
        <v>58</v>
      </c>
      <c r="D516" s="543"/>
      <c r="E516" s="543"/>
      <c r="F516" s="543"/>
    </row>
    <row r="517" spans="1:6" ht="28.8" x14ac:dyDescent="0.55000000000000004">
      <c r="B517" s="55"/>
      <c r="C517" s="55"/>
      <c r="D517" s="55"/>
      <c r="E517" s="55"/>
    </row>
    <row r="518" spans="1:6" ht="25.8" x14ac:dyDescent="0.3">
      <c r="A518" s="194">
        <v>18</v>
      </c>
      <c r="D518" s="58" t="s">
        <v>59</v>
      </c>
      <c r="E518" s="57" t="str">
        <f>'Liste de projets '!B11</f>
        <v>RES/..-.../PR</v>
      </c>
    </row>
    <row r="519" spans="1:6" ht="23.4" x14ac:dyDescent="0.4">
      <c r="B519" s="14"/>
      <c r="C519" s="14"/>
      <c r="D519" s="559"/>
      <c r="E519" s="559"/>
    </row>
    <row r="520" spans="1:6" ht="15" thickBot="1" x14ac:dyDescent="0.35"/>
    <row r="521" spans="1:6" ht="18.600000000000001" thickBot="1" x14ac:dyDescent="0.35">
      <c r="A521" s="544" t="s">
        <v>33</v>
      </c>
      <c r="B521" s="560" t="s">
        <v>17</v>
      </c>
      <c r="C521" s="561"/>
      <c r="D521" s="562"/>
      <c r="E521" s="563" t="s">
        <v>21</v>
      </c>
      <c r="F521" s="564"/>
    </row>
    <row r="522" spans="1:6" ht="15.6" x14ac:dyDescent="0.3">
      <c r="B522" s="165" t="s">
        <v>18</v>
      </c>
      <c r="C522" s="168"/>
      <c r="D522" s="160" t="str">
        <f>'Liste de projets '!D11</f>
        <v>Mme Bella</v>
      </c>
      <c r="E522" s="167"/>
      <c r="F522" s="140"/>
    </row>
    <row r="523" spans="1:6" ht="15.6" x14ac:dyDescent="0.3">
      <c r="B523" s="30" t="s">
        <v>19</v>
      </c>
      <c r="C523" s="41"/>
      <c r="D523" s="26" t="s">
        <v>699</v>
      </c>
      <c r="E523" s="139"/>
      <c r="F523" s="101"/>
    </row>
    <row r="524" spans="1:6" ht="15.6" x14ac:dyDescent="0.3">
      <c r="B524" s="30" t="s">
        <v>20</v>
      </c>
      <c r="C524" s="41"/>
      <c r="D524" s="26"/>
      <c r="E524" s="139"/>
      <c r="F524" s="101"/>
    </row>
    <row r="525" spans="1:6" ht="15.6" x14ac:dyDescent="0.3">
      <c r="B525" s="30"/>
      <c r="C525" s="41"/>
      <c r="D525" s="26"/>
      <c r="E525" s="28"/>
      <c r="F525" s="24"/>
    </row>
    <row r="526" spans="1:6" ht="15.6" x14ac:dyDescent="0.3">
      <c r="B526" s="30"/>
      <c r="C526" s="41"/>
      <c r="D526" s="26"/>
      <c r="E526" s="28"/>
      <c r="F526" s="24"/>
    </row>
    <row r="527" spans="1:6" ht="15.6" x14ac:dyDescent="0.3">
      <c r="B527" s="551" t="s">
        <v>769</v>
      </c>
      <c r="C527" s="552"/>
      <c r="D527" s="553"/>
      <c r="E527" s="28"/>
      <c r="F527" s="24"/>
    </row>
    <row r="528" spans="1:6" ht="15.6" x14ac:dyDescent="0.3">
      <c r="B528" s="31" t="s">
        <v>226</v>
      </c>
      <c r="C528" s="170"/>
      <c r="D528" s="32"/>
      <c r="E528" s="28"/>
      <c r="F528" s="24"/>
    </row>
    <row r="529" spans="2:6" x14ac:dyDescent="0.3">
      <c r="B529" s="1"/>
      <c r="D529" s="8"/>
      <c r="F529" s="24"/>
    </row>
    <row r="530" spans="2:6" x14ac:dyDescent="0.3">
      <c r="B530" s="1"/>
      <c r="D530" s="8"/>
      <c r="F530" s="24"/>
    </row>
    <row r="531" spans="2:6" x14ac:dyDescent="0.3">
      <c r="B531" s="1"/>
      <c r="D531" s="8"/>
      <c r="F531" s="24"/>
    </row>
    <row r="532" spans="2:6" x14ac:dyDescent="0.3">
      <c r="B532" s="1"/>
      <c r="D532" s="8"/>
      <c r="F532" s="24"/>
    </row>
    <row r="533" spans="2:6" x14ac:dyDescent="0.3">
      <c r="B533" s="13"/>
      <c r="C533" s="169"/>
      <c r="D533" s="12"/>
      <c r="F533" s="15"/>
    </row>
    <row r="534" spans="2:6" ht="18" x14ac:dyDescent="0.3">
      <c r="B534" s="554" t="s">
        <v>22</v>
      </c>
      <c r="C534" s="555"/>
      <c r="D534" s="556"/>
      <c r="E534" s="557" t="s">
        <v>28</v>
      </c>
      <c r="F534" s="558"/>
    </row>
    <row r="535" spans="2:6" ht="15.6" x14ac:dyDescent="0.3">
      <c r="B535" s="31" t="s">
        <v>23</v>
      </c>
      <c r="C535" s="170"/>
      <c r="D535" s="32"/>
      <c r="E535" s="33" t="s">
        <v>29</v>
      </c>
      <c r="F535" s="34" t="s">
        <v>37</v>
      </c>
    </row>
    <row r="536" spans="2:6" ht="15.6" x14ac:dyDescent="0.3">
      <c r="B536" s="35" t="s">
        <v>24</v>
      </c>
      <c r="C536" s="28"/>
      <c r="D536" s="36" t="s">
        <v>41</v>
      </c>
      <c r="E536" s="26" t="s">
        <v>38</v>
      </c>
      <c r="F536" s="37"/>
    </row>
    <row r="537" spans="2:6" ht="15.6" x14ac:dyDescent="0.3">
      <c r="B537" s="35" t="s">
        <v>25</v>
      </c>
      <c r="C537" s="28"/>
      <c r="D537" s="36"/>
      <c r="E537" s="26" t="s">
        <v>30</v>
      </c>
      <c r="F537" s="27"/>
    </row>
    <row r="538" spans="2:6" ht="15.6" x14ac:dyDescent="0.3">
      <c r="B538" s="35" t="s">
        <v>26</v>
      </c>
      <c r="C538" s="28"/>
      <c r="D538" s="36"/>
      <c r="E538" s="26" t="s">
        <v>31</v>
      </c>
      <c r="F538" s="27"/>
    </row>
    <row r="539" spans="2:6" ht="15.6" x14ac:dyDescent="0.3">
      <c r="B539" s="35"/>
      <c r="C539" s="28"/>
      <c r="D539" s="36"/>
      <c r="E539" s="26"/>
      <c r="F539" s="27"/>
    </row>
    <row r="540" spans="2:6" ht="15.6" x14ac:dyDescent="0.3">
      <c r="B540" s="38"/>
      <c r="C540" s="171"/>
      <c r="D540" s="39"/>
      <c r="E540" s="28"/>
      <c r="F540" s="27"/>
    </row>
    <row r="541" spans="2:6" ht="15.6" x14ac:dyDescent="0.3">
      <c r="B541" s="40" t="s">
        <v>27</v>
      </c>
      <c r="C541" s="172"/>
      <c r="D541" s="41"/>
      <c r="E541" s="42"/>
      <c r="F541" s="27"/>
    </row>
    <row r="542" spans="2:6" ht="15.6" x14ac:dyDescent="0.3">
      <c r="B542" s="31"/>
      <c r="C542" s="170"/>
      <c r="D542" s="32"/>
      <c r="E542" s="28"/>
      <c r="F542" s="43"/>
    </row>
    <row r="543" spans="2:6" ht="15" thickBot="1" x14ac:dyDescent="0.35">
      <c r="B543" s="3"/>
      <c r="C543" s="4"/>
      <c r="D543" s="9"/>
      <c r="E543" s="4"/>
      <c r="F543" s="25"/>
    </row>
    <row r="550" spans="1:6" ht="28.8" x14ac:dyDescent="0.55000000000000004">
      <c r="C550" s="543" t="s">
        <v>58</v>
      </c>
      <c r="D550" s="543"/>
      <c r="E550" s="543"/>
      <c r="F550" s="543"/>
    </row>
    <row r="551" spans="1:6" ht="28.8" x14ac:dyDescent="0.55000000000000004">
      <c r="B551" s="55"/>
      <c r="C551" s="55"/>
      <c r="D551" s="55"/>
      <c r="E551" s="55"/>
    </row>
    <row r="552" spans="1:6" ht="25.8" x14ac:dyDescent="0.3">
      <c r="A552" s="194">
        <v>19</v>
      </c>
      <c r="D552" s="58" t="s">
        <v>59</v>
      </c>
      <c r="E552" s="57" t="str">
        <f>'Liste de projets '!B10</f>
        <v>IND/..-.../IN</v>
      </c>
    </row>
    <row r="553" spans="1:6" ht="23.4" x14ac:dyDescent="0.4">
      <c r="B553" s="14"/>
      <c r="C553" s="14"/>
      <c r="D553" s="559"/>
      <c r="E553" s="559"/>
    </row>
    <row r="554" spans="1:6" ht="15" thickBot="1" x14ac:dyDescent="0.35"/>
    <row r="555" spans="1:6" ht="18.600000000000001" thickBot="1" x14ac:dyDescent="0.35">
      <c r="A555" s="544" t="s">
        <v>33</v>
      </c>
      <c r="B555" s="560" t="s">
        <v>17</v>
      </c>
      <c r="C555" s="561"/>
      <c r="D555" s="562"/>
      <c r="E555" s="563" t="s">
        <v>21</v>
      </c>
      <c r="F555" s="564"/>
    </row>
    <row r="556" spans="1:6" ht="15.6" x14ac:dyDescent="0.3">
      <c r="B556" s="165" t="s">
        <v>18</v>
      </c>
      <c r="C556" s="168"/>
      <c r="D556" s="160" t="str">
        <f>'Liste de projets '!D10</f>
        <v>BOAD</v>
      </c>
      <c r="E556" s="167"/>
      <c r="F556" s="140"/>
    </row>
    <row r="557" spans="1:6" ht="15.6" x14ac:dyDescent="0.3">
      <c r="B557" s="30" t="s">
        <v>19</v>
      </c>
      <c r="C557" s="41"/>
      <c r="D557" s="26" t="s">
        <v>699</v>
      </c>
      <c r="E557" s="139"/>
      <c r="F557" s="101"/>
    </row>
    <row r="558" spans="1:6" ht="15.6" x14ac:dyDescent="0.3">
      <c r="B558" s="30" t="s">
        <v>20</v>
      </c>
      <c r="C558" s="41"/>
      <c r="D558" s="26"/>
      <c r="E558" s="139"/>
      <c r="F558" s="101"/>
    </row>
    <row r="559" spans="1:6" ht="15.6" x14ac:dyDescent="0.3">
      <c r="B559" s="30"/>
      <c r="C559" s="41"/>
      <c r="D559" s="26"/>
      <c r="E559" s="28"/>
      <c r="F559" s="24"/>
    </row>
    <row r="560" spans="1:6" ht="15.6" x14ac:dyDescent="0.3">
      <c r="B560" s="30"/>
      <c r="C560" s="41"/>
      <c r="D560" s="26"/>
      <c r="E560" s="28"/>
      <c r="F560" s="24"/>
    </row>
    <row r="561" spans="2:6" ht="15.6" x14ac:dyDescent="0.3">
      <c r="B561" s="551" t="s">
        <v>769</v>
      </c>
      <c r="C561" s="552"/>
      <c r="D561" s="553"/>
      <c r="E561" s="28"/>
      <c r="F561" s="24"/>
    </row>
    <row r="562" spans="2:6" ht="15.6" x14ac:dyDescent="0.3">
      <c r="B562" s="31" t="s">
        <v>226</v>
      </c>
      <c r="C562" s="170"/>
      <c r="D562" s="32"/>
      <c r="E562" s="28"/>
      <c r="F562" s="24"/>
    </row>
    <row r="563" spans="2:6" x14ac:dyDescent="0.3">
      <c r="B563" s="1"/>
      <c r="D563" s="8"/>
      <c r="F563" s="24"/>
    </row>
    <row r="564" spans="2:6" x14ac:dyDescent="0.3">
      <c r="B564" s="1"/>
      <c r="D564" s="8"/>
      <c r="F564" s="24"/>
    </row>
    <row r="565" spans="2:6" x14ac:dyDescent="0.3">
      <c r="B565" s="1"/>
      <c r="D565" s="8"/>
      <c r="F565" s="24"/>
    </row>
    <row r="566" spans="2:6" x14ac:dyDescent="0.3">
      <c r="B566" s="1"/>
      <c r="D566" s="8"/>
      <c r="F566" s="24"/>
    </row>
    <row r="567" spans="2:6" x14ac:dyDescent="0.3">
      <c r="B567" s="13"/>
      <c r="C567" s="169"/>
      <c r="D567" s="12"/>
      <c r="F567" s="15"/>
    </row>
    <row r="568" spans="2:6" ht="18" x14ac:dyDescent="0.3">
      <c r="B568" s="554" t="s">
        <v>22</v>
      </c>
      <c r="C568" s="555"/>
      <c r="D568" s="556"/>
      <c r="E568" s="557" t="s">
        <v>28</v>
      </c>
      <c r="F568" s="558"/>
    </row>
    <row r="569" spans="2:6" ht="15.6" x14ac:dyDescent="0.3">
      <c r="B569" s="31" t="s">
        <v>23</v>
      </c>
      <c r="C569" s="170"/>
      <c r="D569" s="32"/>
      <c r="E569" s="33" t="s">
        <v>29</v>
      </c>
      <c r="F569" s="34" t="s">
        <v>37</v>
      </c>
    </row>
    <row r="570" spans="2:6" ht="15.6" x14ac:dyDescent="0.3">
      <c r="B570" s="35" t="s">
        <v>24</v>
      </c>
      <c r="C570" s="28"/>
      <c r="D570" s="36" t="s">
        <v>41</v>
      </c>
      <c r="E570" s="26" t="s">
        <v>38</v>
      </c>
      <c r="F570" s="37"/>
    </row>
    <row r="571" spans="2:6" ht="15.6" x14ac:dyDescent="0.3">
      <c r="B571" s="35" t="s">
        <v>25</v>
      </c>
      <c r="C571" s="28"/>
      <c r="D571" s="36"/>
      <c r="E571" s="26" t="s">
        <v>30</v>
      </c>
      <c r="F571" s="27"/>
    </row>
    <row r="572" spans="2:6" ht="15.6" x14ac:dyDescent="0.3">
      <c r="B572" s="35" t="s">
        <v>26</v>
      </c>
      <c r="C572" s="28"/>
      <c r="D572" s="36"/>
      <c r="E572" s="26" t="s">
        <v>31</v>
      </c>
      <c r="F572" s="27"/>
    </row>
    <row r="573" spans="2:6" ht="15.6" x14ac:dyDescent="0.3">
      <c r="B573" s="35"/>
      <c r="C573" s="28"/>
      <c r="D573" s="36"/>
      <c r="E573" s="26"/>
      <c r="F573" s="27"/>
    </row>
    <row r="574" spans="2:6" ht="15.6" x14ac:dyDescent="0.3">
      <c r="B574" s="38"/>
      <c r="C574" s="171"/>
      <c r="D574" s="39"/>
      <c r="E574" s="28"/>
      <c r="F574" s="27"/>
    </row>
    <row r="575" spans="2:6" ht="15.6" x14ac:dyDescent="0.3">
      <c r="B575" s="40" t="s">
        <v>27</v>
      </c>
      <c r="C575" s="172"/>
      <c r="D575" s="41"/>
      <c r="E575" s="42"/>
      <c r="F575" s="27"/>
    </row>
    <row r="576" spans="2:6" ht="15.6" x14ac:dyDescent="0.3">
      <c r="B576" s="31"/>
      <c r="C576" s="170"/>
      <c r="D576" s="32"/>
      <c r="E576" s="28"/>
      <c r="F576" s="43"/>
    </row>
    <row r="577" spans="1:6" ht="15" thickBot="1" x14ac:dyDescent="0.35">
      <c r="B577" s="3"/>
      <c r="C577" s="4"/>
      <c r="D577" s="9"/>
      <c r="E577" s="4"/>
      <c r="F577" s="25"/>
    </row>
    <row r="584" spans="1:6" ht="28.8" x14ac:dyDescent="0.55000000000000004">
      <c r="C584" s="543" t="s">
        <v>58</v>
      </c>
      <c r="D584" s="543"/>
      <c r="E584" s="543"/>
      <c r="F584" s="543"/>
    </row>
    <row r="585" spans="1:6" ht="28.8" x14ac:dyDescent="0.55000000000000004">
      <c r="B585" s="55"/>
      <c r="C585" s="55"/>
      <c r="D585" s="55"/>
      <c r="E585" s="55"/>
    </row>
    <row r="586" spans="1:6" ht="25.8" x14ac:dyDescent="0.3">
      <c r="A586" s="194">
        <v>20</v>
      </c>
      <c r="D586" s="58" t="s">
        <v>59</v>
      </c>
      <c r="E586" s="118" t="str">
        <f>'Liste de projets '!B9</f>
        <v>RES/1118/PR</v>
      </c>
    </row>
    <row r="587" spans="1:6" ht="23.4" x14ac:dyDescent="0.4">
      <c r="B587" s="14"/>
      <c r="C587" s="14"/>
      <c r="D587" s="559"/>
      <c r="E587" s="559"/>
    </row>
    <row r="588" spans="1:6" ht="15" thickBot="1" x14ac:dyDescent="0.35"/>
    <row r="589" spans="1:6" ht="18.600000000000001" thickBot="1" x14ac:dyDescent="0.35">
      <c r="A589" s="544" t="s">
        <v>33</v>
      </c>
      <c r="B589" s="560" t="s">
        <v>17</v>
      </c>
      <c r="C589" s="561"/>
      <c r="D589" s="562"/>
      <c r="E589" s="563" t="s">
        <v>21</v>
      </c>
      <c r="F589" s="564"/>
    </row>
    <row r="590" spans="1:6" ht="15.6" x14ac:dyDescent="0.3">
      <c r="B590" s="165" t="s">
        <v>18</v>
      </c>
      <c r="C590" s="168"/>
      <c r="D590" s="160">
        <f>'Liste de projets '!D50</f>
        <v>0</v>
      </c>
      <c r="E590" s="167"/>
      <c r="F590" s="140"/>
    </row>
    <row r="591" spans="1:6" ht="15.6" x14ac:dyDescent="0.3">
      <c r="B591" s="30" t="s">
        <v>19</v>
      </c>
      <c r="C591" s="41"/>
      <c r="D591" s="26" t="s">
        <v>699</v>
      </c>
      <c r="E591" s="139"/>
      <c r="F591" s="101"/>
    </row>
    <row r="592" spans="1:6" ht="15.6" x14ac:dyDescent="0.3">
      <c r="B592" s="30" t="s">
        <v>20</v>
      </c>
      <c r="C592" s="41"/>
      <c r="D592" s="26"/>
      <c r="E592" s="139"/>
      <c r="F592" s="101"/>
    </row>
    <row r="593" spans="2:6" ht="15.6" x14ac:dyDescent="0.3">
      <c r="B593" s="30"/>
      <c r="C593" s="41"/>
      <c r="D593" s="26"/>
      <c r="E593" s="28"/>
      <c r="F593" s="24"/>
    </row>
    <row r="594" spans="2:6" ht="15.6" x14ac:dyDescent="0.3">
      <c r="B594" s="30"/>
      <c r="C594" s="41"/>
      <c r="D594" s="26"/>
      <c r="E594" s="28"/>
      <c r="F594" s="24"/>
    </row>
    <row r="595" spans="2:6" ht="15.6" x14ac:dyDescent="0.3">
      <c r="B595" s="551" t="s">
        <v>769</v>
      </c>
      <c r="C595" s="552"/>
      <c r="D595" s="553"/>
      <c r="E595" s="28"/>
      <c r="F595" s="24"/>
    </row>
    <row r="596" spans="2:6" ht="15.6" x14ac:dyDescent="0.3">
      <c r="B596" s="31" t="s">
        <v>226</v>
      </c>
      <c r="C596" s="170"/>
      <c r="D596" s="32"/>
      <c r="E596" s="28"/>
      <c r="F596" s="24"/>
    </row>
    <row r="597" spans="2:6" x14ac:dyDescent="0.3">
      <c r="B597" s="1"/>
      <c r="D597" s="8"/>
      <c r="F597" s="24"/>
    </row>
    <row r="598" spans="2:6" x14ac:dyDescent="0.3">
      <c r="B598" s="1"/>
      <c r="D598" s="8"/>
      <c r="F598" s="24"/>
    </row>
    <row r="599" spans="2:6" x14ac:dyDescent="0.3">
      <c r="B599" s="1"/>
      <c r="D599" s="8"/>
      <c r="F599" s="24"/>
    </row>
    <row r="600" spans="2:6" x14ac:dyDescent="0.3">
      <c r="B600" s="1"/>
      <c r="D600" s="8"/>
      <c r="F600" s="24"/>
    </row>
    <row r="601" spans="2:6" x14ac:dyDescent="0.3">
      <c r="B601" s="13"/>
      <c r="C601" s="169"/>
      <c r="D601" s="12"/>
      <c r="F601" s="15"/>
    </row>
    <row r="602" spans="2:6" ht="18" x14ac:dyDescent="0.3">
      <c r="B602" s="554" t="s">
        <v>22</v>
      </c>
      <c r="C602" s="555"/>
      <c r="D602" s="556"/>
      <c r="E602" s="557" t="s">
        <v>28</v>
      </c>
      <c r="F602" s="558"/>
    </row>
    <row r="603" spans="2:6" ht="15.6" x14ac:dyDescent="0.3">
      <c r="B603" s="31" t="s">
        <v>23</v>
      </c>
      <c r="C603" s="170"/>
      <c r="D603" s="32"/>
      <c r="E603" s="33" t="s">
        <v>29</v>
      </c>
      <c r="F603" s="34" t="s">
        <v>37</v>
      </c>
    </row>
    <row r="604" spans="2:6" ht="15.6" x14ac:dyDescent="0.3">
      <c r="B604" s="35" t="s">
        <v>24</v>
      </c>
      <c r="C604" s="28"/>
      <c r="D604" s="36" t="s">
        <v>41</v>
      </c>
      <c r="E604" s="26" t="s">
        <v>38</v>
      </c>
      <c r="F604" s="37"/>
    </row>
    <row r="605" spans="2:6" ht="15.6" x14ac:dyDescent="0.3">
      <c r="B605" s="35" t="s">
        <v>25</v>
      </c>
      <c r="C605" s="28"/>
      <c r="D605" s="36"/>
      <c r="E605" s="26" t="s">
        <v>30</v>
      </c>
      <c r="F605" s="27"/>
    </row>
    <row r="606" spans="2:6" ht="15.6" x14ac:dyDescent="0.3">
      <c r="B606" s="35" t="s">
        <v>26</v>
      </c>
      <c r="C606" s="28"/>
      <c r="D606" s="36"/>
      <c r="E606" s="26" t="s">
        <v>31</v>
      </c>
      <c r="F606" s="27"/>
    </row>
    <row r="607" spans="2:6" ht="15.6" x14ac:dyDescent="0.3">
      <c r="B607" s="35"/>
      <c r="C607" s="28"/>
      <c r="D607" s="36"/>
      <c r="E607" s="26"/>
      <c r="F607" s="27"/>
    </row>
    <row r="608" spans="2:6" ht="15.6" x14ac:dyDescent="0.3">
      <c r="B608" s="38"/>
      <c r="C608" s="171"/>
      <c r="D608" s="39"/>
      <c r="E608" s="28"/>
      <c r="F608" s="27"/>
    </row>
    <row r="609" spans="1:6" ht="15.6" x14ac:dyDescent="0.3">
      <c r="B609" s="40" t="s">
        <v>27</v>
      </c>
      <c r="C609" s="172"/>
      <c r="D609" s="41"/>
      <c r="E609" s="42"/>
      <c r="F609" s="27"/>
    </row>
    <row r="610" spans="1:6" ht="15.6" x14ac:dyDescent="0.3">
      <c r="B610" s="31"/>
      <c r="C610" s="170"/>
      <c r="D610" s="32"/>
      <c r="E610" s="28"/>
      <c r="F610" s="43"/>
    </row>
    <row r="611" spans="1:6" ht="15" thickBot="1" x14ac:dyDescent="0.35">
      <c r="B611" s="3"/>
      <c r="C611" s="4"/>
      <c r="D611" s="9"/>
      <c r="E611" s="4"/>
      <c r="F611" s="25"/>
    </row>
    <row r="616" spans="1:6" ht="28.8" x14ac:dyDescent="0.55000000000000004">
      <c r="C616" s="543" t="s">
        <v>58</v>
      </c>
      <c r="D616" s="543"/>
      <c r="E616" s="543"/>
      <c r="F616" s="543"/>
    </row>
    <row r="617" spans="1:6" ht="28.8" x14ac:dyDescent="0.55000000000000004">
      <c r="B617" s="55"/>
      <c r="C617" s="55"/>
      <c r="D617" s="55"/>
      <c r="E617" s="55"/>
    </row>
    <row r="618" spans="1:6" ht="25.8" x14ac:dyDescent="0.3">
      <c r="A618" s="194">
        <v>21</v>
      </c>
      <c r="D618" s="58" t="s">
        <v>59</v>
      </c>
      <c r="E618" s="57" t="str">
        <f>'Liste de projets '!B8</f>
        <v>RES/..-.../PR</v>
      </c>
    </row>
    <row r="619" spans="1:6" ht="23.4" x14ac:dyDescent="0.4">
      <c r="B619" s="14"/>
      <c r="C619" s="14"/>
      <c r="D619" s="559"/>
      <c r="E619" s="559"/>
    </row>
    <row r="620" spans="1:6" ht="15" thickBot="1" x14ac:dyDescent="0.35"/>
    <row r="621" spans="1:6" ht="18.600000000000001" thickBot="1" x14ac:dyDescent="0.35">
      <c r="A621" s="544" t="s">
        <v>33</v>
      </c>
      <c r="B621" s="560" t="s">
        <v>17</v>
      </c>
      <c r="C621" s="561"/>
      <c r="D621" s="562"/>
      <c r="E621" s="563" t="s">
        <v>21</v>
      </c>
      <c r="F621" s="564"/>
    </row>
    <row r="622" spans="1:6" ht="15.6" x14ac:dyDescent="0.3">
      <c r="B622" s="165" t="s">
        <v>18</v>
      </c>
      <c r="C622" s="168"/>
      <c r="D622" s="160" t="str">
        <f>'Liste de projets '!D8</f>
        <v>Perso</v>
      </c>
      <c r="E622" s="167"/>
      <c r="F622" s="140"/>
    </row>
    <row r="623" spans="1:6" ht="15.6" x14ac:dyDescent="0.3">
      <c r="B623" s="30" t="s">
        <v>19</v>
      </c>
      <c r="C623" s="41"/>
      <c r="D623" s="26" t="s">
        <v>699</v>
      </c>
      <c r="E623" s="139"/>
      <c r="F623" s="101"/>
    </row>
    <row r="624" spans="1:6" ht="15.6" x14ac:dyDescent="0.3">
      <c r="B624" s="30" t="s">
        <v>20</v>
      </c>
      <c r="C624" s="41"/>
      <c r="D624" s="26"/>
      <c r="E624" s="139"/>
      <c r="F624" s="101"/>
    </row>
    <row r="625" spans="2:6" ht="15.6" x14ac:dyDescent="0.3">
      <c r="B625" s="30"/>
      <c r="C625" s="41"/>
      <c r="D625" s="26"/>
      <c r="E625" s="28"/>
      <c r="F625" s="24"/>
    </row>
    <row r="626" spans="2:6" ht="15.6" x14ac:dyDescent="0.3">
      <c r="B626" s="30"/>
      <c r="C626" s="41"/>
      <c r="D626" s="26"/>
      <c r="E626" s="28"/>
      <c r="F626" s="24"/>
    </row>
    <row r="627" spans="2:6" ht="15.6" x14ac:dyDescent="0.3">
      <c r="B627" s="551" t="s">
        <v>770</v>
      </c>
      <c r="C627" s="552"/>
      <c r="D627" s="553"/>
      <c r="E627" s="28"/>
      <c r="F627" s="24"/>
    </row>
    <row r="628" spans="2:6" ht="15.6" x14ac:dyDescent="0.3">
      <c r="B628" s="31" t="s">
        <v>226</v>
      </c>
      <c r="C628" s="170"/>
      <c r="D628" s="32"/>
      <c r="E628" s="28"/>
      <c r="F628" s="24"/>
    </row>
    <row r="629" spans="2:6" x14ac:dyDescent="0.3">
      <c r="B629" s="1"/>
      <c r="D629" s="8"/>
      <c r="F629" s="24"/>
    </row>
    <row r="630" spans="2:6" x14ac:dyDescent="0.3">
      <c r="B630" s="1"/>
      <c r="D630" s="8"/>
      <c r="F630" s="24"/>
    </row>
    <row r="631" spans="2:6" x14ac:dyDescent="0.3">
      <c r="B631" s="1"/>
      <c r="D631" s="8"/>
      <c r="F631" s="24"/>
    </row>
    <row r="632" spans="2:6" x14ac:dyDescent="0.3">
      <c r="B632" s="1"/>
      <c r="D632" s="8"/>
      <c r="F632" s="24"/>
    </row>
    <row r="633" spans="2:6" x14ac:dyDescent="0.3">
      <c r="B633" s="13"/>
      <c r="C633" s="169"/>
      <c r="D633" s="12"/>
      <c r="F633" s="15"/>
    </row>
    <row r="634" spans="2:6" ht="18" x14ac:dyDescent="0.3">
      <c r="B634" s="554" t="s">
        <v>22</v>
      </c>
      <c r="C634" s="555"/>
      <c r="D634" s="556"/>
      <c r="E634" s="557" t="s">
        <v>28</v>
      </c>
      <c r="F634" s="558"/>
    </row>
    <row r="635" spans="2:6" ht="15.6" x14ac:dyDescent="0.3">
      <c r="B635" s="31" t="s">
        <v>23</v>
      </c>
      <c r="C635" s="170"/>
      <c r="D635" s="32"/>
      <c r="E635" s="33" t="s">
        <v>29</v>
      </c>
      <c r="F635" s="34" t="s">
        <v>37</v>
      </c>
    </row>
    <row r="636" spans="2:6" ht="15.6" x14ac:dyDescent="0.3">
      <c r="B636" s="35" t="s">
        <v>24</v>
      </c>
      <c r="C636" s="28"/>
      <c r="D636" s="36" t="s">
        <v>41</v>
      </c>
      <c r="E636" s="26" t="s">
        <v>38</v>
      </c>
      <c r="F636" s="37"/>
    </row>
    <row r="637" spans="2:6" ht="15.6" x14ac:dyDescent="0.3">
      <c r="B637" s="35" t="s">
        <v>25</v>
      </c>
      <c r="C637" s="28"/>
      <c r="D637" s="36"/>
      <c r="E637" s="26" t="s">
        <v>30</v>
      </c>
      <c r="F637" s="27"/>
    </row>
    <row r="638" spans="2:6" ht="15.6" x14ac:dyDescent="0.3">
      <c r="B638" s="35" t="s">
        <v>26</v>
      </c>
      <c r="C638" s="28"/>
      <c r="D638" s="36"/>
      <c r="E638" s="26" t="s">
        <v>31</v>
      </c>
      <c r="F638" s="27"/>
    </row>
    <row r="639" spans="2:6" ht="15.6" x14ac:dyDescent="0.3">
      <c r="B639" s="35"/>
      <c r="C639" s="28"/>
      <c r="D639" s="36"/>
      <c r="E639" s="26"/>
      <c r="F639" s="27"/>
    </row>
    <row r="640" spans="2:6" ht="15.6" x14ac:dyDescent="0.3">
      <c r="B640" s="38"/>
      <c r="C640" s="171"/>
      <c r="D640" s="39"/>
      <c r="E640" s="28"/>
      <c r="F640" s="27"/>
    </row>
    <row r="641" spans="1:6" ht="15.6" x14ac:dyDescent="0.3">
      <c r="B641" s="40" t="s">
        <v>27</v>
      </c>
      <c r="C641" s="172"/>
      <c r="D641" s="41"/>
      <c r="E641" s="42"/>
      <c r="F641" s="27"/>
    </row>
    <row r="642" spans="1:6" ht="15.6" x14ac:dyDescent="0.3">
      <c r="B642" s="31"/>
      <c r="C642" s="170"/>
      <c r="D642" s="32"/>
      <c r="E642" s="28"/>
      <c r="F642" s="43"/>
    </row>
    <row r="643" spans="1:6" ht="15" thickBot="1" x14ac:dyDescent="0.35">
      <c r="B643" s="3"/>
      <c r="C643" s="4"/>
      <c r="D643" s="9"/>
      <c r="E643" s="4"/>
      <c r="F643" s="25"/>
    </row>
    <row r="650" spans="1:6" ht="28.8" x14ac:dyDescent="0.55000000000000004">
      <c r="C650" s="543" t="s">
        <v>58</v>
      </c>
      <c r="D650" s="543"/>
      <c r="E650" s="543"/>
      <c r="F650" s="543"/>
    </row>
    <row r="651" spans="1:6" ht="28.8" x14ac:dyDescent="0.55000000000000004">
      <c r="B651" s="55"/>
      <c r="C651" s="55"/>
      <c r="D651" s="55"/>
      <c r="E651" s="55"/>
    </row>
    <row r="652" spans="1:6" ht="25.8" x14ac:dyDescent="0.3">
      <c r="A652" s="194">
        <v>21</v>
      </c>
      <c r="D652" s="58" t="s">
        <v>59</v>
      </c>
      <c r="E652" s="118" t="str">
        <f>'Liste de projets '!B8</f>
        <v>RES/..-.../PR</v>
      </c>
    </row>
    <row r="653" spans="1:6" ht="23.4" x14ac:dyDescent="0.4">
      <c r="B653" s="14"/>
      <c r="C653" s="14"/>
      <c r="D653" s="559"/>
      <c r="E653" s="559"/>
    </row>
    <row r="654" spans="1:6" ht="15" thickBot="1" x14ac:dyDescent="0.35"/>
    <row r="655" spans="1:6" ht="18.600000000000001" thickBot="1" x14ac:dyDescent="0.35">
      <c r="A655" s="544" t="s">
        <v>33</v>
      </c>
      <c r="B655" s="560" t="s">
        <v>17</v>
      </c>
      <c r="C655" s="561"/>
      <c r="D655" s="562"/>
      <c r="E655" s="563" t="s">
        <v>21</v>
      </c>
      <c r="F655" s="564"/>
    </row>
    <row r="656" spans="1:6" ht="15.6" x14ac:dyDescent="0.3">
      <c r="B656" s="165" t="s">
        <v>18</v>
      </c>
      <c r="C656" s="168"/>
      <c r="D656" s="160">
        <f>'Liste de projets '!D116</f>
        <v>0</v>
      </c>
      <c r="E656" s="167"/>
      <c r="F656" s="140"/>
    </row>
    <row r="657" spans="2:6" ht="15.6" x14ac:dyDescent="0.3">
      <c r="B657" s="30" t="s">
        <v>19</v>
      </c>
      <c r="C657" s="41"/>
      <c r="D657" s="26" t="s">
        <v>699</v>
      </c>
      <c r="E657" s="139"/>
      <c r="F657" s="101"/>
    </row>
    <row r="658" spans="2:6" ht="15.6" x14ac:dyDescent="0.3">
      <c r="B658" s="30" t="s">
        <v>20</v>
      </c>
      <c r="C658" s="41"/>
      <c r="D658" s="26"/>
      <c r="E658" s="139"/>
      <c r="F658" s="101"/>
    </row>
    <row r="659" spans="2:6" ht="15.6" x14ac:dyDescent="0.3">
      <c r="B659" s="30"/>
      <c r="C659" s="41"/>
      <c r="D659" s="26"/>
      <c r="E659" s="28"/>
      <c r="F659" s="24"/>
    </row>
    <row r="660" spans="2:6" ht="15.6" x14ac:dyDescent="0.3">
      <c r="B660" s="30"/>
      <c r="C660" s="41"/>
      <c r="D660" s="26"/>
      <c r="E660" s="28"/>
      <c r="F660" s="24"/>
    </row>
    <row r="661" spans="2:6" ht="15.6" x14ac:dyDescent="0.3">
      <c r="B661" s="551" t="s">
        <v>771</v>
      </c>
      <c r="C661" s="552"/>
      <c r="D661" s="553"/>
      <c r="E661" s="28"/>
      <c r="F661" s="24"/>
    </row>
    <row r="662" spans="2:6" ht="15.6" x14ac:dyDescent="0.3">
      <c r="B662" s="31" t="s">
        <v>226</v>
      </c>
      <c r="C662" s="170"/>
      <c r="D662" s="32"/>
      <c r="E662" s="28"/>
      <c r="F662" s="24"/>
    </row>
    <row r="663" spans="2:6" x14ac:dyDescent="0.3">
      <c r="B663" s="1"/>
      <c r="D663" s="8"/>
      <c r="F663" s="24"/>
    </row>
    <row r="664" spans="2:6" x14ac:dyDescent="0.3">
      <c r="B664" s="1"/>
      <c r="D664" s="8"/>
      <c r="F664" s="24"/>
    </row>
    <row r="665" spans="2:6" x14ac:dyDescent="0.3">
      <c r="B665" s="1"/>
      <c r="D665" s="8"/>
      <c r="F665" s="24"/>
    </row>
    <row r="666" spans="2:6" x14ac:dyDescent="0.3">
      <c r="B666" s="1"/>
      <c r="D666" s="8"/>
      <c r="F666" s="24"/>
    </row>
    <row r="667" spans="2:6" x14ac:dyDescent="0.3">
      <c r="B667" s="13"/>
      <c r="C667" s="169"/>
      <c r="D667" s="12"/>
      <c r="F667" s="15"/>
    </row>
    <row r="668" spans="2:6" ht="18" x14ac:dyDescent="0.3">
      <c r="B668" s="554" t="s">
        <v>22</v>
      </c>
      <c r="C668" s="555"/>
      <c r="D668" s="556"/>
      <c r="E668" s="557" t="s">
        <v>28</v>
      </c>
      <c r="F668" s="558"/>
    </row>
    <row r="669" spans="2:6" ht="15.6" x14ac:dyDescent="0.3">
      <c r="B669" s="31" t="s">
        <v>23</v>
      </c>
      <c r="C669" s="170"/>
      <c r="D669" s="32"/>
      <c r="E669" s="33" t="s">
        <v>29</v>
      </c>
      <c r="F669" s="34" t="s">
        <v>37</v>
      </c>
    </row>
    <row r="670" spans="2:6" ht="15.6" x14ac:dyDescent="0.3">
      <c r="B670" s="35" t="s">
        <v>24</v>
      </c>
      <c r="C670" s="28"/>
      <c r="D670" s="36" t="s">
        <v>41</v>
      </c>
      <c r="E670" s="26" t="s">
        <v>38</v>
      </c>
      <c r="F670" s="37"/>
    </row>
    <row r="671" spans="2:6" ht="15.6" x14ac:dyDescent="0.3">
      <c r="B671" s="35" t="s">
        <v>25</v>
      </c>
      <c r="C671" s="28"/>
      <c r="D671" s="36"/>
      <c r="E671" s="26" t="s">
        <v>30</v>
      </c>
      <c r="F671" s="27"/>
    </row>
    <row r="672" spans="2:6" ht="15.6" x14ac:dyDescent="0.3">
      <c r="B672" s="35" t="s">
        <v>26</v>
      </c>
      <c r="C672" s="28"/>
      <c r="D672" s="36"/>
      <c r="E672" s="26" t="s">
        <v>31</v>
      </c>
      <c r="F672" s="27"/>
    </row>
    <row r="673" spans="1:6" ht="15.6" x14ac:dyDescent="0.3">
      <c r="B673" s="35"/>
      <c r="C673" s="28"/>
      <c r="D673" s="36"/>
      <c r="E673" s="26"/>
      <c r="F673" s="27"/>
    </row>
    <row r="674" spans="1:6" ht="15.6" x14ac:dyDescent="0.3">
      <c r="B674" s="38"/>
      <c r="C674" s="171"/>
      <c r="D674" s="39"/>
      <c r="E674" s="28"/>
      <c r="F674" s="27"/>
    </row>
    <row r="675" spans="1:6" ht="15.6" x14ac:dyDescent="0.3">
      <c r="B675" s="40" t="s">
        <v>27</v>
      </c>
      <c r="C675" s="172"/>
      <c r="D675" s="41"/>
      <c r="E675" s="42"/>
      <c r="F675" s="27"/>
    </row>
    <row r="676" spans="1:6" ht="15.6" x14ac:dyDescent="0.3">
      <c r="B676" s="31"/>
      <c r="C676" s="170"/>
      <c r="D676" s="32"/>
      <c r="E676" s="28"/>
      <c r="F676" s="43"/>
    </row>
    <row r="677" spans="1:6" ht="15" thickBot="1" x14ac:dyDescent="0.35">
      <c r="B677" s="3"/>
      <c r="C677" s="4"/>
      <c r="D677" s="9"/>
      <c r="E677" s="4"/>
      <c r="F677" s="25"/>
    </row>
    <row r="684" spans="1:6" ht="28.8" x14ac:dyDescent="0.55000000000000004">
      <c r="C684" s="543" t="s">
        <v>58</v>
      </c>
      <c r="D684" s="543"/>
      <c r="E684" s="543"/>
      <c r="F684" s="543"/>
    </row>
    <row r="685" spans="1:6" ht="28.8" x14ac:dyDescent="0.55000000000000004">
      <c r="B685" s="55"/>
      <c r="C685" s="55"/>
      <c r="D685" s="55"/>
      <c r="E685" s="55"/>
    </row>
    <row r="686" spans="1:6" ht="25.8" x14ac:dyDescent="0.3">
      <c r="A686" s="194">
        <v>22</v>
      </c>
      <c r="D686" s="58" t="s">
        <v>59</v>
      </c>
      <c r="E686" s="57" t="str">
        <f>'Liste de projets '!B7</f>
        <v>PRI/..-.../PR</v>
      </c>
    </row>
    <row r="687" spans="1:6" ht="23.4" x14ac:dyDescent="0.4">
      <c r="B687" s="14"/>
      <c r="C687" s="14"/>
      <c r="D687" s="559"/>
      <c r="E687" s="559"/>
    </row>
    <row r="688" spans="1:6" ht="15" thickBot="1" x14ac:dyDescent="0.35"/>
    <row r="689" spans="1:6" ht="18.600000000000001" thickBot="1" x14ac:dyDescent="0.35">
      <c r="A689" s="544" t="s">
        <v>33</v>
      </c>
      <c r="B689" s="560" t="s">
        <v>17</v>
      </c>
      <c r="C689" s="561"/>
      <c r="D689" s="562"/>
      <c r="E689" s="563" t="s">
        <v>21</v>
      </c>
      <c r="F689" s="564"/>
    </row>
    <row r="690" spans="1:6" ht="15.6" x14ac:dyDescent="0.3">
      <c r="B690" s="165" t="s">
        <v>18</v>
      </c>
      <c r="C690" s="168"/>
      <c r="D690" s="160" t="str">
        <f>'Liste de projets '!D7</f>
        <v>KLASS TOSSOU Tinos</v>
      </c>
      <c r="E690" s="167"/>
      <c r="F690" s="140"/>
    </row>
    <row r="691" spans="1:6" ht="15.6" x14ac:dyDescent="0.3">
      <c r="B691" s="30" t="s">
        <v>19</v>
      </c>
      <c r="C691" s="41"/>
      <c r="D691" s="26" t="s">
        <v>699</v>
      </c>
      <c r="E691" s="139"/>
      <c r="F691" s="101"/>
    </row>
    <row r="692" spans="1:6" ht="15.6" x14ac:dyDescent="0.3">
      <c r="B692" s="30" t="s">
        <v>20</v>
      </c>
      <c r="C692" s="41"/>
      <c r="D692" s="26"/>
      <c r="E692" s="139"/>
      <c r="F692" s="101"/>
    </row>
    <row r="693" spans="1:6" ht="15.6" x14ac:dyDescent="0.3">
      <c r="B693" s="30"/>
      <c r="C693" s="41"/>
      <c r="D693" s="26"/>
      <c r="E693" s="28"/>
      <c r="F693" s="24"/>
    </row>
    <row r="694" spans="1:6" ht="15.6" x14ac:dyDescent="0.3">
      <c r="B694" s="30"/>
      <c r="C694" s="41"/>
      <c r="D694" s="26"/>
      <c r="E694" s="28"/>
      <c r="F694" s="24"/>
    </row>
    <row r="695" spans="1:6" ht="15.6" x14ac:dyDescent="0.3">
      <c r="B695" s="551" t="s">
        <v>771</v>
      </c>
      <c r="C695" s="552"/>
      <c r="D695" s="553"/>
      <c r="E695" s="28"/>
      <c r="F695" s="24"/>
    </row>
    <row r="696" spans="1:6" ht="15.6" x14ac:dyDescent="0.3">
      <c r="B696" s="31" t="s">
        <v>226</v>
      </c>
      <c r="C696" s="170"/>
      <c r="D696" s="32"/>
      <c r="E696" s="28"/>
      <c r="F696" s="24"/>
    </row>
    <row r="697" spans="1:6" x14ac:dyDescent="0.3">
      <c r="B697" s="1"/>
      <c r="D697" s="8"/>
      <c r="F697" s="24"/>
    </row>
    <row r="698" spans="1:6" x14ac:dyDescent="0.3">
      <c r="B698" s="1"/>
      <c r="D698" s="8"/>
      <c r="F698" s="24"/>
    </row>
    <row r="699" spans="1:6" x14ac:dyDescent="0.3">
      <c r="B699" s="1"/>
      <c r="D699" s="8"/>
      <c r="F699" s="24"/>
    </row>
    <row r="700" spans="1:6" x14ac:dyDescent="0.3">
      <c r="B700" s="1"/>
      <c r="D700" s="8"/>
      <c r="F700" s="24"/>
    </row>
    <row r="701" spans="1:6" x14ac:dyDescent="0.3">
      <c r="B701" s="13"/>
      <c r="C701" s="169"/>
      <c r="D701" s="12"/>
      <c r="F701" s="15"/>
    </row>
    <row r="702" spans="1:6" ht="18" x14ac:dyDescent="0.3">
      <c r="B702" s="554" t="s">
        <v>22</v>
      </c>
      <c r="C702" s="555"/>
      <c r="D702" s="556"/>
      <c r="E702" s="557" t="s">
        <v>28</v>
      </c>
      <c r="F702" s="558"/>
    </row>
    <row r="703" spans="1:6" ht="15.6" x14ac:dyDescent="0.3">
      <c r="B703" s="31" t="s">
        <v>23</v>
      </c>
      <c r="C703" s="170"/>
      <c r="D703" s="32"/>
      <c r="E703" s="33" t="s">
        <v>29</v>
      </c>
      <c r="F703" s="34" t="s">
        <v>37</v>
      </c>
    </row>
    <row r="704" spans="1:6" ht="15.6" x14ac:dyDescent="0.3">
      <c r="B704" s="35" t="s">
        <v>24</v>
      </c>
      <c r="C704" s="28"/>
      <c r="D704" s="36" t="s">
        <v>41</v>
      </c>
      <c r="E704" s="26" t="s">
        <v>38</v>
      </c>
      <c r="F704" s="37"/>
    </row>
    <row r="705" spans="1:6" ht="15.6" x14ac:dyDescent="0.3">
      <c r="B705" s="35" t="s">
        <v>25</v>
      </c>
      <c r="C705" s="28"/>
      <c r="D705" s="36"/>
      <c r="E705" s="26" t="s">
        <v>30</v>
      </c>
      <c r="F705" s="27"/>
    </row>
    <row r="706" spans="1:6" ht="15.6" x14ac:dyDescent="0.3">
      <c r="B706" s="35" t="s">
        <v>26</v>
      </c>
      <c r="C706" s="28"/>
      <c r="D706" s="36"/>
      <c r="E706" s="26" t="s">
        <v>31</v>
      </c>
      <c r="F706" s="27"/>
    </row>
    <row r="707" spans="1:6" ht="15.6" x14ac:dyDescent="0.3">
      <c r="B707" s="35"/>
      <c r="C707" s="28"/>
      <c r="D707" s="36"/>
      <c r="E707" s="26"/>
      <c r="F707" s="27"/>
    </row>
    <row r="708" spans="1:6" ht="15.6" x14ac:dyDescent="0.3">
      <c r="B708" s="38"/>
      <c r="C708" s="171"/>
      <c r="D708" s="39"/>
      <c r="E708" s="28"/>
      <c r="F708" s="27"/>
    </row>
    <row r="709" spans="1:6" ht="15.6" x14ac:dyDescent="0.3">
      <c r="B709" s="40" t="s">
        <v>27</v>
      </c>
      <c r="C709" s="172"/>
      <c r="D709" s="41"/>
      <c r="E709" s="42"/>
      <c r="F709" s="27"/>
    </row>
    <row r="710" spans="1:6" ht="15.6" x14ac:dyDescent="0.3">
      <c r="B710" s="31"/>
      <c r="C710" s="170"/>
      <c r="D710" s="32"/>
      <c r="E710" s="28"/>
      <c r="F710" s="43"/>
    </row>
    <row r="711" spans="1:6" ht="15" thickBot="1" x14ac:dyDescent="0.35">
      <c r="B711" s="3"/>
      <c r="C711" s="4"/>
      <c r="D711" s="9"/>
      <c r="E711" s="4"/>
      <c r="F711" s="25"/>
    </row>
    <row r="718" spans="1:6" ht="28.8" x14ac:dyDescent="0.55000000000000004">
      <c r="C718" s="543" t="s">
        <v>58</v>
      </c>
      <c r="D718" s="543"/>
      <c r="E718" s="543"/>
      <c r="F718" s="543"/>
    </row>
    <row r="719" spans="1:6" ht="28.8" x14ac:dyDescent="0.55000000000000004">
      <c r="B719" s="55"/>
      <c r="C719" s="55"/>
      <c r="D719" s="55"/>
      <c r="E719" s="55"/>
    </row>
    <row r="720" spans="1:6" ht="25.8" x14ac:dyDescent="0.3">
      <c r="A720" s="194">
        <v>23</v>
      </c>
      <c r="D720" s="58" t="s">
        <v>59</v>
      </c>
      <c r="E720" s="57" t="str">
        <f>'Liste de projets '!B6</f>
        <v>PRI/..-…/PR</v>
      </c>
    </row>
    <row r="721" spans="1:6" ht="23.4" x14ac:dyDescent="0.4">
      <c r="B721" s="14"/>
      <c r="C721" s="14"/>
      <c r="D721" s="559"/>
      <c r="E721" s="559"/>
    </row>
    <row r="722" spans="1:6" ht="15" thickBot="1" x14ac:dyDescent="0.35"/>
    <row r="723" spans="1:6" ht="18.600000000000001" thickBot="1" x14ac:dyDescent="0.35">
      <c r="A723" s="544" t="s">
        <v>33</v>
      </c>
      <c r="B723" s="560" t="s">
        <v>17</v>
      </c>
      <c r="C723" s="561"/>
      <c r="D723" s="562"/>
      <c r="E723" s="563" t="s">
        <v>21</v>
      </c>
      <c r="F723" s="564"/>
    </row>
    <row r="724" spans="1:6" ht="15.6" x14ac:dyDescent="0.3">
      <c r="B724" s="165" t="s">
        <v>18</v>
      </c>
      <c r="C724" s="168"/>
      <c r="D724" s="160" t="str">
        <f>'Liste de projets '!D6</f>
        <v>Victor EHE</v>
      </c>
      <c r="E724" s="167"/>
      <c r="F724" s="140"/>
    </row>
    <row r="725" spans="1:6" ht="15.6" x14ac:dyDescent="0.3">
      <c r="B725" s="30" t="s">
        <v>19</v>
      </c>
      <c r="C725" s="41"/>
      <c r="D725" s="26" t="s">
        <v>699</v>
      </c>
      <c r="E725" s="139"/>
      <c r="F725" s="101"/>
    </row>
    <row r="726" spans="1:6" ht="15.6" x14ac:dyDescent="0.3">
      <c r="B726" s="30" t="s">
        <v>20</v>
      </c>
      <c r="C726" s="41"/>
      <c r="D726" s="26"/>
      <c r="E726" s="139"/>
      <c r="F726" s="101"/>
    </row>
    <row r="727" spans="1:6" ht="15.6" x14ac:dyDescent="0.3">
      <c r="B727" s="30"/>
      <c r="C727" s="41"/>
      <c r="D727" s="26"/>
      <c r="E727" s="28"/>
      <c r="F727" s="24"/>
    </row>
    <row r="728" spans="1:6" ht="15.6" x14ac:dyDescent="0.3">
      <c r="B728" s="30"/>
      <c r="C728" s="41"/>
      <c r="D728" s="26"/>
      <c r="E728" s="28"/>
      <c r="F728" s="24"/>
    </row>
    <row r="729" spans="1:6" ht="15.6" x14ac:dyDescent="0.3">
      <c r="B729" s="551" t="s">
        <v>772</v>
      </c>
      <c r="C729" s="552"/>
      <c r="D729" s="553"/>
      <c r="E729" s="28"/>
      <c r="F729" s="24"/>
    </row>
    <row r="730" spans="1:6" ht="15.6" x14ac:dyDescent="0.3">
      <c r="B730" s="31" t="s">
        <v>226</v>
      </c>
      <c r="C730" s="170"/>
      <c r="D730" s="32"/>
      <c r="E730" s="28"/>
      <c r="F730" s="24"/>
    </row>
    <row r="731" spans="1:6" x14ac:dyDescent="0.3">
      <c r="B731" s="1"/>
      <c r="D731" s="8"/>
      <c r="F731" s="24"/>
    </row>
    <row r="732" spans="1:6" x14ac:dyDescent="0.3">
      <c r="B732" s="1"/>
      <c r="D732" s="8"/>
      <c r="F732" s="24"/>
    </row>
    <row r="733" spans="1:6" x14ac:dyDescent="0.3">
      <c r="B733" s="1"/>
      <c r="D733" s="8"/>
      <c r="F733" s="24"/>
    </row>
    <row r="734" spans="1:6" x14ac:dyDescent="0.3">
      <c r="B734" s="1"/>
      <c r="D734" s="8"/>
      <c r="F734" s="24"/>
    </row>
    <row r="735" spans="1:6" x14ac:dyDescent="0.3">
      <c r="B735" s="13"/>
      <c r="C735" s="169"/>
      <c r="D735" s="12"/>
      <c r="F735" s="15"/>
    </row>
    <row r="736" spans="1:6" ht="18" x14ac:dyDescent="0.3">
      <c r="B736" s="554" t="s">
        <v>22</v>
      </c>
      <c r="C736" s="555"/>
      <c r="D736" s="556"/>
      <c r="E736" s="557" t="s">
        <v>28</v>
      </c>
      <c r="F736" s="558"/>
    </row>
    <row r="737" spans="2:6" ht="15.6" x14ac:dyDescent="0.3">
      <c r="B737" s="31" t="s">
        <v>23</v>
      </c>
      <c r="C737" s="170"/>
      <c r="D737" s="32"/>
      <c r="E737" s="33" t="s">
        <v>29</v>
      </c>
      <c r="F737" s="34" t="s">
        <v>37</v>
      </c>
    </row>
    <row r="738" spans="2:6" ht="15.6" x14ac:dyDescent="0.3">
      <c r="B738" s="35" t="s">
        <v>24</v>
      </c>
      <c r="C738" s="28"/>
      <c r="D738" s="36" t="s">
        <v>41</v>
      </c>
      <c r="E738" s="26" t="s">
        <v>38</v>
      </c>
      <c r="F738" s="37"/>
    </row>
    <row r="739" spans="2:6" ht="15.6" x14ac:dyDescent="0.3">
      <c r="B739" s="35" t="s">
        <v>25</v>
      </c>
      <c r="C739" s="28"/>
      <c r="D739" s="36"/>
      <c r="E739" s="26" t="s">
        <v>30</v>
      </c>
      <c r="F739" s="27"/>
    </row>
    <row r="740" spans="2:6" ht="15.6" x14ac:dyDescent="0.3">
      <c r="B740" s="35" t="s">
        <v>26</v>
      </c>
      <c r="C740" s="28"/>
      <c r="D740" s="36"/>
      <c r="E740" s="26" t="s">
        <v>31</v>
      </c>
      <c r="F740" s="27"/>
    </row>
    <row r="741" spans="2:6" ht="15.6" x14ac:dyDescent="0.3">
      <c r="B741" s="35"/>
      <c r="C741" s="28"/>
      <c r="D741" s="36"/>
      <c r="E741" s="26"/>
      <c r="F741" s="27"/>
    </row>
    <row r="742" spans="2:6" ht="15.6" x14ac:dyDescent="0.3">
      <c r="B742" s="38"/>
      <c r="C742" s="171"/>
      <c r="D742" s="39"/>
      <c r="E742" s="28"/>
      <c r="F742" s="27"/>
    </row>
    <row r="743" spans="2:6" ht="15.6" x14ac:dyDescent="0.3">
      <c r="B743" s="40" t="s">
        <v>27</v>
      </c>
      <c r="C743" s="172"/>
      <c r="D743" s="41"/>
      <c r="E743" s="42"/>
      <c r="F743" s="27"/>
    </row>
    <row r="744" spans="2:6" ht="15.6" x14ac:dyDescent="0.3">
      <c r="B744" s="31"/>
      <c r="C744" s="170"/>
      <c r="D744" s="32"/>
      <c r="E744" s="28"/>
      <c r="F744" s="43"/>
    </row>
    <row r="745" spans="2:6" ht="15" thickBot="1" x14ac:dyDescent="0.35">
      <c r="B745" s="3"/>
      <c r="C745" s="4"/>
      <c r="D745" s="9"/>
      <c r="E745" s="4"/>
      <c r="F745" s="25"/>
    </row>
  </sheetData>
  <mergeCells count="139">
    <mergeCell ref="B288:D288"/>
    <mergeCell ref="E288:F288"/>
    <mergeCell ref="B327:D327"/>
    <mergeCell ref="B334:D334"/>
    <mergeCell ref="E334:F334"/>
    <mergeCell ref="B294:D294"/>
    <mergeCell ref="B301:D301"/>
    <mergeCell ref="E301:F301"/>
    <mergeCell ref="D319:E319"/>
    <mergeCell ref="B321:D321"/>
    <mergeCell ref="E321:F321"/>
    <mergeCell ref="B235:D235"/>
    <mergeCell ref="E235:F235"/>
    <mergeCell ref="D253:E253"/>
    <mergeCell ref="B255:D255"/>
    <mergeCell ref="E255:F255"/>
    <mergeCell ref="B261:D261"/>
    <mergeCell ref="B268:D268"/>
    <mergeCell ref="E268:F268"/>
    <mergeCell ref="D286:E286"/>
    <mergeCell ref="B189:D189"/>
    <mergeCell ref="E189:F189"/>
    <mergeCell ref="B195:D195"/>
    <mergeCell ref="B202:D202"/>
    <mergeCell ref="E202:F202"/>
    <mergeCell ref="D220:E220"/>
    <mergeCell ref="B222:D222"/>
    <mergeCell ref="E222:F222"/>
    <mergeCell ref="B228:D228"/>
    <mergeCell ref="B137:D137"/>
    <mergeCell ref="E137:F137"/>
    <mergeCell ref="D154:E154"/>
    <mergeCell ref="B156:D156"/>
    <mergeCell ref="E156:F156"/>
    <mergeCell ref="B162:D162"/>
    <mergeCell ref="B169:D169"/>
    <mergeCell ref="E169:F169"/>
    <mergeCell ref="D187:E187"/>
    <mergeCell ref="B101:E101"/>
    <mergeCell ref="B105:D105"/>
    <mergeCell ref="E105:F105"/>
    <mergeCell ref="B85:E85"/>
    <mergeCell ref="D122:E122"/>
    <mergeCell ref="B124:D124"/>
    <mergeCell ref="E124:F124"/>
    <mergeCell ref="B102:E102"/>
    <mergeCell ref="B130:D130"/>
    <mergeCell ref="B29:E29"/>
    <mergeCell ref="D351:E351"/>
    <mergeCell ref="B353:D353"/>
    <mergeCell ref="E353:F353"/>
    <mergeCell ref="B359:D359"/>
    <mergeCell ref="B17:E17"/>
    <mergeCell ref="D20:E20"/>
    <mergeCell ref="B22:D22"/>
    <mergeCell ref="E22:F22"/>
    <mergeCell ref="B28:D28"/>
    <mergeCell ref="B59:D59"/>
    <mergeCell ref="E59:F59"/>
    <mergeCell ref="B65:D65"/>
    <mergeCell ref="B72:D72"/>
    <mergeCell ref="B30:E30"/>
    <mergeCell ref="B31:E31"/>
    <mergeCell ref="B33:D33"/>
    <mergeCell ref="E33:F33"/>
    <mergeCell ref="B54:E54"/>
    <mergeCell ref="D57:E57"/>
    <mergeCell ref="E72:F72"/>
    <mergeCell ref="B94:D94"/>
    <mergeCell ref="E94:F94"/>
    <mergeCell ref="B100:D100"/>
    <mergeCell ref="B392:D392"/>
    <mergeCell ref="B399:D399"/>
    <mergeCell ref="E399:F399"/>
    <mergeCell ref="D418:E418"/>
    <mergeCell ref="B420:D420"/>
    <mergeCell ref="E420:F420"/>
    <mergeCell ref="B366:D366"/>
    <mergeCell ref="E366:F366"/>
    <mergeCell ref="D384:E384"/>
    <mergeCell ref="B386:D386"/>
    <mergeCell ref="E386:F386"/>
    <mergeCell ref="B459:D459"/>
    <mergeCell ref="B466:D466"/>
    <mergeCell ref="E466:F466"/>
    <mergeCell ref="D485:E485"/>
    <mergeCell ref="B487:D487"/>
    <mergeCell ref="E487:F487"/>
    <mergeCell ref="B426:D426"/>
    <mergeCell ref="B433:D433"/>
    <mergeCell ref="E433:F433"/>
    <mergeCell ref="D451:E451"/>
    <mergeCell ref="B453:D453"/>
    <mergeCell ref="E453:F453"/>
    <mergeCell ref="B527:D527"/>
    <mergeCell ref="B534:D534"/>
    <mergeCell ref="E534:F534"/>
    <mergeCell ref="D553:E553"/>
    <mergeCell ref="B555:D555"/>
    <mergeCell ref="E555:F555"/>
    <mergeCell ref="B493:D493"/>
    <mergeCell ref="B500:D500"/>
    <mergeCell ref="E500:F500"/>
    <mergeCell ref="D519:E519"/>
    <mergeCell ref="B521:D521"/>
    <mergeCell ref="E521:F521"/>
    <mergeCell ref="B595:D595"/>
    <mergeCell ref="B602:D602"/>
    <mergeCell ref="E602:F602"/>
    <mergeCell ref="D619:E619"/>
    <mergeCell ref="B621:D621"/>
    <mergeCell ref="E621:F621"/>
    <mergeCell ref="B561:D561"/>
    <mergeCell ref="B568:D568"/>
    <mergeCell ref="E568:F568"/>
    <mergeCell ref="D587:E587"/>
    <mergeCell ref="B589:D589"/>
    <mergeCell ref="E589:F589"/>
    <mergeCell ref="B661:D661"/>
    <mergeCell ref="B668:D668"/>
    <mergeCell ref="E668:F668"/>
    <mergeCell ref="D687:E687"/>
    <mergeCell ref="B689:D689"/>
    <mergeCell ref="E689:F689"/>
    <mergeCell ref="B627:D627"/>
    <mergeCell ref="B634:D634"/>
    <mergeCell ref="E634:F634"/>
    <mergeCell ref="D653:E653"/>
    <mergeCell ref="B655:D655"/>
    <mergeCell ref="E655:F655"/>
    <mergeCell ref="B729:D729"/>
    <mergeCell ref="B736:D736"/>
    <mergeCell ref="E736:F736"/>
    <mergeCell ref="B695:D695"/>
    <mergeCell ref="B702:D702"/>
    <mergeCell ref="E702:F702"/>
    <mergeCell ref="D721:E721"/>
    <mergeCell ref="B723:D723"/>
    <mergeCell ref="E723:F7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587"/>
  <sheetViews>
    <sheetView zoomScaleNormal="100" workbookViewId="0">
      <selection activeCell="C62" sqref="C62"/>
    </sheetView>
  </sheetViews>
  <sheetFormatPr baseColWidth="10" defaultRowHeight="14.4" x14ac:dyDescent="0.3"/>
  <cols>
    <col min="1" max="1" width="36.44140625" customWidth="1"/>
    <col min="2" max="2" width="20" customWidth="1"/>
    <col min="3" max="3" width="21.5546875" customWidth="1"/>
    <col min="4" max="4" width="23.77734375" customWidth="1"/>
    <col min="5" max="5" width="27.44140625" customWidth="1"/>
    <col min="6" max="6" width="15.44140625" customWidth="1"/>
    <col min="7" max="7" width="44" customWidth="1"/>
  </cols>
  <sheetData>
    <row r="1" spans="1:7" ht="28.8" x14ac:dyDescent="0.3">
      <c r="A1" s="596" t="s">
        <v>7</v>
      </c>
      <c r="B1" s="596"/>
      <c r="C1" s="596"/>
      <c r="D1" s="596"/>
      <c r="E1" s="596"/>
      <c r="F1" s="596"/>
      <c r="G1" s="596"/>
    </row>
    <row r="2" spans="1:7" ht="28.8" x14ac:dyDescent="0.3">
      <c r="A2" s="654" t="s">
        <v>697</v>
      </c>
      <c r="B2" s="654"/>
      <c r="C2" s="654"/>
      <c r="D2" s="654"/>
      <c r="E2" s="654"/>
      <c r="F2" s="654"/>
      <c r="G2" s="654"/>
    </row>
    <row r="3" spans="1:7" ht="28.8" x14ac:dyDescent="0.3">
      <c r="A3" s="151"/>
      <c r="B3" s="151"/>
      <c r="C3" s="151"/>
      <c r="D3" s="151"/>
      <c r="E3" s="151"/>
      <c r="F3" s="151"/>
      <c r="G3" s="151"/>
    </row>
    <row r="4" spans="1:7" ht="21.6" thickBot="1" x14ac:dyDescent="0.45">
      <c r="A4" s="642" t="s">
        <v>704</v>
      </c>
      <c r="B4" s="642"/>
      <c r="C4" s="642"/>
      <c r="D4" s="642"/>
      <c r="E4" s="642"/>
      <c r="F4" s="642"/>
      <c r="G4" s="642"/>
    </row>
    <row r="5" spans="1:7" ht="18.600000000000001" thickBot="1" x14ac:dyDescent="0.35">
      <c r="A5" s="20" t="s">
        <v>0</v>
      </c>
      <c r="B5" s="161"/>
      <c r="C5" s="21" t="s">
        <v>1</v>
      </c>
      <c r="D5" s="598" t="s">
        <v>4</v>
      </c>
      <c r="E5" s="599"/>
      <c r="F5" s="21" t="s">
        <v>2</v>
      </c>
      <c r="G5" s="19" t="s">
        <v>3</v>
      </c>
    </row>
    <row r="6" spans="1:7" x14ac:dyDescent="0.3">
      <c r="A6" s="60" t="s">
        <v>5</v>
      </c>
      <c r="B6" s="162"/>
      <c r="C6" s="61" t="s">
        <v>6</v>
      </c>
      <c r="D6" s="62"/>
      <c r="E6" s="62"/>
      <c r="F6" s="63"/>
      <c r="G6" s="64"/>
    </row>
    <row r="7" spans="1:7" x14ac:dyDescent="0.3">
      <c r="A7" s="50"/>
      <c r="B7" s="51"/>
      <c r="C7" s="54"/>
      <c r="D7" s="51"/>
      <c r="E7" s="51"/>
      <c r="F7" s="52"/>
      <c r="G7" s="53"/>
    </row>
    <row r="8" spans="1:7" x14ac:dyDescent="0.3">
      <c r="A8" s="1"/>
      <c r="C8" s="22"/>
      <c r="D8" s="49"/>
      <c r="F8" s="46"/>
      <c r="G8" s="2"/>
    </row>
    <row r="9" spans="1:7" x14ac:dyDescent="0.3">
      <c r="A9" s="1"/>
      <c r="C9" s="22"/>
      <c r="D9" s="49"/>
      <c r="F9" s="46"/>
      <c r="G9" s="2"/>
    </row>
    <row r="10" spans="1:7" x14ac:dyDescent="0.3">
      <c r="A10" s="1"/>
      <c r="C10" s="22"/>
      <c r="D10" s="49"/>
      <c r="F10" s="6"/>
      <c r="G10" s="2"/>
    </row>
    <row r="11" spans="1:7" x14ac:dyDescent="0.3">
      <c r="A11" s="1"/>
      <c r="C11" s="22"/>
      <c r="D11" s="49"/>
      <c r="F11" s="6"/>
      <c r="G11" s="2"/>
    </row>
    <row r="12" spans="1:7" x14ac:dyDescent="0.3">
      <c r="A12" s="1"/>
      <c r="C12" s="22"/>
      <c r="D12" s="49"/>
      <c r="F12" s="6"/>
      <c r="G12" s="2"/>
    </row>
    <row r="13" spans="1:7" x14ac:dyDescent="0.3">
      <c r="A13" s="1"/>
      <c r="C13" s="22"/>
      <c r="D13" s="49"/>
      <c r="F13" s="6"/>
      <c r="G13" s="2"/>
    </row>
    <row r="14" spans="1:7" ht="15" thickBot="1" x14ac:dyDescent="0.35">
      <c r="A14" s="3"/>
      <c r="B14" s="4"/>
      <c r="C14" s="23"/>
      <c r="D14" s="4"/>
      <c r="E14" s="4"/>
      <c r="F14" s="7"/>
      <c r="G14" s="5"/>
    </row>
    <row r="15" spans="1:7" x14ac:dyDescent="0.3">
      <c r="A15" s="60" t="s">
        <v>209</v>
      </c>
      <c r="B15" s="162"/>
      <c r="C15" s="61" t="s">
        <v>699</v>
      </c>
      <c r="D15" s="62"/>
      <c r="E15" s="62"/>
      <c r="F15" s="63"/>
      <c r="G15" s="64"/>
    </row>
    <row r="16" spans="1:7" x14ac:dyDescent="0.3">
      <c r="A16" s="50"/>
      <c r="B16" s="51"/>
      <c r="C16" s="54"/>
      <c r="D16" s="51"/>
      <c r="E16" s="51"/>
      <c r="F16" s="52"/>
      <c r="G16" s="53"/>
    </row>
    <row r="17" spans="1:7" x14ac:dyDescent="0.3">
      <c r="A17" s="1"/>
      <c r="C17" s="22"/>
      <c r="F17" s="46"/>
      <c r="G17" s="2"/>
    </row>
    <row r="18" spans="1:7" x14ac:dyDescent="0.3">
      <c r="A18" s="1"/>
      <c r="C18" s="22"/>
      <c r="F18" s="46"/>
      <c r="G18" s="2"/>
    </row>
    <row r="19" spans="1:7" x14ac:dyDescent="0.3">
      <c r="A19" s="1"/>
      <c r="C19" s="22"/>
      <c r="F19" s="46"/>
      <c r="G19" s="2"/>
    </row>
    <row r="20" spans="1:7" x14ac:dyDescent="0.3">
      <c r="A20" s="1"/>
      <c r="C20" s="22"/>
      <c r="F20" s="46"/>
      <c r="G20" s="2"/>
    </row>
    <row r="21" spans="1:7" x14ac:dyDescent="0.3">
      <c r="A21" s="1"/>
      <c r="C21" s="22"/>
      <c r="F21" s="46"/>
      <c r="G21" s="2"/>
    </row>
    <row r="22" spans="1:7" x14ac:dyDescent="0.3">
      <c r="A22" s="1"/>
      <c r="C22" s="22"/>
      <c r="F22" s="46"/>
      <c r="G22" s="2"/>
    </row>
    <row r="23" spans="1:7" ht="17.399999999999999" customHeight="1" x14ac:dyDescent="0.3">
      <c r="A23" s="1"/>
      <c r="C23" s="22"/>
      <c r="F23" s="46"/>
      <c r="G23" s="2"/>
    </row>
    <row r="24" spans="1:7" ht="16.8" customHeight="1" x14ac:dyDescent="0.3">
      <c r="A24" s="47"/>
      <c r="B24" s="163"/>
      <c r="C24" s="22"/>
      <c r="D24" s="48"/>
      <c r="F24" s="46"/>
      <c r="G24" s="2"/>
    </row>
    <row r="25" spans="1:7" x14ac:dyDescent="0.3">
      <c r="A25" s="47"/>
      <c r="B25" s="163"/>
      <c r="C25" s="22"/>
      <c r="D25" s="48"/>
      <c r="F25" s="46"/>
      <c r="G25" s="2"/>
    </row>
    <row r="26" spans="1:7" ht="15" thickBot="1" x14ac:dyDescent="0.35">
      <c r="A26" s="47"/>
      <c r="B26" s="163"/>
      <c r="C26" s="22"/>
      <c r="D26" s="48"/>
      <c r="F26" s="46"/>
      <c r="G26" s="2"/>
    </row>
    <row r="27" spans="1:7" x14ac:dyDescent="0.3">
      <c r="A27" s="60" t="s">
        <v>210</v>
      </c>
      <c r="B27" s="162"/>
      <c r="C27" s="61" t="s">
        <v>211</v>
      </c>
      <c r="D27" s="62"/>
      <c r="E27" s="62"/>
      <c r="F27" s="63"/>
      <c r="G27" s="64"/>
    </row>
    <row r="28" spans="1:7" x14ac:dyDescent="0.3">
      <c r="A28" s="47"/>
      <c r="B28" s="163"/>
      <c r="C28" s="22"/>
      <c r="D28" s="48"/>
      <c r="F28" s="46"/>
      <c r="G28" s="2"/>
    </row>
    <row r="29" spans="1:7" x14ac:dyDescent="0.3">
      <c r="A29" s="47"/>
      <c r="B29" s="163"/>
      <c r="C29" s="22"/>
      <c r="D29" s="48"/>
      <c r="F29" s="6"/>
      <c r="G29" s="2"/>
    </row>
    <row r="30" spans="1:7" x14ac:dyDescent="0.3">
      <c r="A30" s="47"/>
      <c r="B30" s="163"/>
      <c r="C30" s="22"/>
      <c r="D30" s="48"/>
      <c r="F30" s="6"/>
      <c r="G30" s="2"/>
    </row>
    <row r="31" spans="1:7" x14ac:dyDescent="0.3">
      <c r="A31" s="47"/>
      <c r="B31" s="163"/>
      <c r="C31" s="22"/>
      <c r="D31" s="48"/>
      <c r="F31" s="6"/>
      <c r="G31" s="2"/>
    </row>
    <row r="32" spans="1:7" x14ac:dyDescent="0.3">
      <c r="A32" s="47"/>
      <c r="B32" s="163"/>
      <c r="C32" s="22"/>
      <c r="D32" s="48"/>
      <c r="F32" s="6"/>
      <c r="G32" s="2"/>
    </row>
    <row r="33" spans="1:7" x14ac:dyDescent="0.3">
      <c r="A33" s="47"/>
      <c r="B33" s="163"/>
      <c r="C33" s="22"/>
      <c r="D33" s="48"/>
      <c r="F33" s="6"/>
      <c r="G33" s="2"/>
    </row>
    <row r="34" spans="1:7" x14ac:dyDescent="0.3">
      <c r="A34" s="47"/>
      <c r="B34" s="163"/>
      <c r="C34" s="22"/>
      <c r="D34" s="48"/>
      <c r="F34" s="6"/>
      <c r="G34" s="2"/>
    </row>
    <row r="35" spans="1:7" x14ac:dyDescent="0.3">
      <c r="A35" s="47"/>
      <c r="B35" s="163"/>
      <c r="C35" s="22"/>
      <c r="D35" s="48"/>
      <c r="F35" s="6"/>
      <c r="G35" s="2"/>
    </row>
    <row r="36" spans="1:7" x14ac:dyDescent="0.3">
      <c r="A36" s="1"/>
      <c r="C36" s="22"/>
      <c r="F36" s="6"/>
      <c r="G36" s="2"/>
    </row>
    <row r="37" spans="1:7" ht="15" thickBot="1" x14ac:dyDescent="0.35">
      <c r="A37" s="3"/>
      <c r="B37" s="4"/>
      <c r="C37" s="23"/>
      <c r="D37" s="4"/>
      <c r="E37" s="4"/>
      <c r="F37" s="7"/>
      <c r="G37" s="5"/>
    </row>
    <row r="38" spans="1:7" x14ac:dyDescent="0.3">
      <c r="A38" s="65" t="s">
        <v>9</v>
      </c>
      <c r="B38" s="164"/>
      <c r="C38" s="61" t="s">
        <v>700</v>
      </c>
      <c r="D38" s="66"/>
      <c r="E38" s="66"/>
      <c r="F38" s="67"/>
      <c r="G38" s="68"/>
    </row>
    <row r="39" spans="1:7" x14ac:dyDescent="0.3">
      <c r="A39" s="1"/>
      <c r="C39" s="22"/>
      <c r="F39" s="6"/>
      <c r="G39" s="2"/>
    </row>
    <row r="40" spans="1:7" x14ac:dyDescent="0.3">
      <c r="A40" s="1"/>
      <c r="C40" s="22"/>
      <c r="F40" s="6"/>
      <c r="G40" s="2"/>
    </row>
    <row r="41" spans="1:7" x14ac:dyDescent="0.3">
      <c r="A41" s="1"/>
      <c r="C41" s="22"/>
      <c r="F41" s="6"/>
      <c r="G41" s="2"/>
    </row>
    <row r="42" spans="1:7" x14ac:dyDescent="0.3">
      <c r="A42" s="1"/>
      <c r="C42" s="22"/>
      <c r="F42" s="6"/>
      <c r="G42" s="2"/>
    </row>
    <row r="43" spans="1:7" ht="15" thickBot="1" x14ac:dyDescent="0.35">
      <c r="A43" s="3"/>
      <c r="B43" s="4"/>
      <c r="C43" s="23"/>
      <c r="D43" s="4"/>
      <c r="E43" s="4"/>
      <c r="F43" s="7"/>
      <c r="G43" s="5"/>
    </row>
    <row r="48" spans="1:7" ht="28.8" x14ac:dyDescent="0.3">
      <c r="A48" s="596" t="s">
        <v>7</v>
      </c>
      <c r="B48" s="596"/>
      <c r="C48" s="596"/>
      <c r="D48" s="596"/>
      <c r="E48" s="596"/>
      <c r="F48" s="596"/>
      <c r="G48" s="596"/>
    </row>
    <row r="49" spans="1:7" ht="28.8" x14ac:dyDescent="0.3">
      <c r="A49" s="654" t="s">
        <v>697</v>
      </c>
      <c r="B49" s="654"/>
      <c r="C49" s="654"/>
      <c r="D49" s="654"/>
      <c r="E49" s="654"/>
      <c r="F49" s="654"/>
      <c r="G49" s="654"/>
    </row>
    <row r="50" spans="1:7" ht="28.8" x14ac:dyDescent="0.3">
      <c r="A50" s="150"/>
      <c r="B50" s="150"/>
      <c r="C50" s="150"/>
      <c r="D50" s="150"/>
      <c r="E50" s="150"/>
      <c r="F50" s="150"/>
      <c r="G50" s="150"/>
    </row>
    <row r="51" spans="1:7" ht="21.6" thickBot="1" x14ac:dyDescent="0.45">
      <c r="A51" s="642" t="s">
        <v>698</v>
      </c>
      <c r="B51" s="642"/>
      <c r="C51" s="642"/>
      <c r="D51" s="642"/>
      <c r="E51" s="642"/>
      <c r="F51" s="642"/>
      <c r="G51" s="642"/>
    </row>
    <row r="52" spans="1:7" ht="18.600000000000001" thickBot="1" x14ac:dyDescent="0.35">
      <c r="A52" s="20" t="s">
        <v>0</v>
      </c>
      <c r="B52" s="161"/>
      <c r="C52" s="21" t="s">
        <v>1</v>
      </c>
      <c r="D52" s="598" t="s">
        <v>4</v>
      </c>
      <c r="E52" s="599"/>
      <c r="F52" s="21" t="s">
        <v>2</v>
      </c>
      <c r="G52" s="19" t="s">
        <v>3</v>
      </c>
    </row>
    <row r="53" spans="1:7" x14ac:dyDescent="0.3">
      <c r="A53" s="60" t="s">
        <v>5</v>
      </c>
      <c r="B53" s="162"/>
      <c r="C53" s="61" t="s">
        <v>6</v>
      </c>
      <c r="D53" s="62"/>
      <c r="E53" s="62"/>
      <c r="F53" s="63"/>
      <c r="G53" s="64"/>
    </row>
    <row r="54" spans="1:7" x14ac:dyDescent="0.3">
      <c r="A54" s="50"/>
      <c r="B54" s="51"/>
      <c r="C54" s="54"/>
      <c r="D54" s="51"/>
      <c r="E54" s="51"/>
      <c r="F54" s="52"/>
      <c r="G54" s="53"/>
    </row>
    <row r="55" spans="1:7" x14ac:dyDescent="0.3">
      <c r="A55" s="1"/>
      <c r="C55" s="22"/>
      <c r="D55" s="49"/>
      <c r="F55" s="46"/>
      <c r="G55" s="2"/>
    </row>
    <row r="56" spans="1:7" x14ac:dyDescent="0.3">
      <c r="A56" s="1"/>
      <c r="C56" s="22"/>
      <c r="D56" s="49"/>
      <c r="F56" s="46"/>
      <c r="G56" s="2"/>
    </row>
    <row r="57" spans="1:7" x14ac:dyDescent="0.3">
      <c r="A57" s="1"/>
      <c r="C57" s="22"/>
      <c r="D57" s="49"/>
      <c r="F57" s="6"/>
      <c r="G57" s="2"/>
    </row>
    <row r="58" spans="1:7" x14ac:dyDescent="0.3">
      <c r="A58" s="1"/>
      <c r="C58" s="22"/>
      <c r="D58" s="49"/>
      <c r="F58" s="6"/>
      <c r="G58" s="2"/>
    </row>
    <row r="59" spans="1:7" x14ac:dyDescent="0.3">
      <c r="A59" s="1"/>
      <c r="C59" s="22"/>
      <c r="D59" s="49"/>
      <c r="F59" s="6"/>
      <c r="G59" s="2"/>
    </row>
    <row r="60" spans="1:7" x14ac:dyDescent="0.3">
      <c r="A60" s="1"/>
      <c r="C60" s="22"/>
      <c r="D60" s="49"/>
      <c r="F60" s="6"/>
      <c r="G60" s="2"/>
    </row>
    <row r="61" spans="1:7" ht="15" thickBot="1" x14ac:dyDescent="0.35">
      <c r="A61" s="3"/>
      <c r="B61" s="4"/>
      <c r="C61" s="23"/>
      <c r="D61" s="4"/>
      <c r="E61" s="4"/>
      <c r="F61" s="7"/>
      <c r="G61" s="5"/>
    </row>
    <row r="62" spans="1:7" x14ac:dyDescent="0.3">
      <c r="A62" s="60" t="s">
        <v>209</v>
      </c>
      <c r="B62" s="162"/>
      <c r="C62" s="61" t="s">
        <v>699</v>
      </c>
      <c r="D62" s="62"/>
      <c r="E62" s="62"/>
      <c r="F62" s="63"/>
      <c r="G62" s="64"/>
    </row>
    <row r="63" spans="1:7" x14ac:dyDescent="0.3">
      <c r="A63" s="50"/>
      <c r="B63" s="51"/>
      <c r="C63" s="54"/>
      <c r="D63" s="51"/>
      <c r="E63" s="51"/>
      <c r="F63" s="52"/>
      <c r="G63" s="53"/>
    </row>
    <row r="64" spans="1:7" x14ac:dyDescent="0.3">
      <c r="A64" s="1"/>
      <c r="C64" s="22"/>
      <c r="F64" s="46"/>
      <c r="G64" s="2"/>
    </row>
    <row r="65" spans="1:7" x14ac:dyDescent="0.3">
      <c r="A65" s="1"/>
      <c r="C65" s="22"/>
      <c r="F65" s="46"/>
      <c r="G65" s="2"/>
    </row>
    <row r="66" spans="1:7" x14ac:dyDescent="0.3">
      <c r="A66" s="1"/>
      <c r="C66" s="22"/>
      <c r="F66" s="46"/>
      <c r="G66" s="2"/>
    </row>
    <row r="67" spans="1:7" x14ac:dyDescent="0.3">
      <c r="A67" s="1"/>
      <c r="C67" s="22"/>
      <c r="F67" s="46"/>
      <c r="G67" s="2"/>
    </row>
    <row r="68" spans="1:7" x14ac:dyDescent="0.3">
      <c r="A68" s="1"/>
      <c r="C68" s="22"/>
      <c r="F68" s="46"/>
      <c r="G68" s="2"/>
    </row>
    <row r="69" spans="1:7" x14ac:dyDescent="0.3">
      <c r="A69" s="1"/>
      <c r="C69" s="22"/>
      <c r="F69" s="46"/>
      <c r="G69" s="2"/>
    </row>
    <row r="70" spans="1:7" ht="17.399999999999999" customHeight="1" x14ac:dyDescent="0.3">
      <c r="A70" s="1"/>
      <c r="C70" s="22"/>
      <c r="F70" s="46"/>
      <c r="G70" s="2"/>
    </row>
    <row r="71" spans="1:7" ht="16.8" customHeight="1" x14ac:dyDescent="0.3">
      <c r="A71" s="47"/>
      <c r="B71" s="163"/>
      <c r="C71" s="22"/>
      <c r="D71" s="48"/>
      <c r="F71" s="46"/>
      <c r="G71" s="2"/>
    </row>
    <row r="72" spans="1:7" x14ac:dyDescent="0.3">
      <c r="A72" s="47"/>
      <c r="B72" s="163"/>
      <c r="C72" s="22"/>
      <c r="D72" s="48"/>
      <c r="F72" s="46"/>
      <c r="G72" s="2"/>
    </row>
    <row r="73" spans="1:7" ht="15" thickBot="1" x14ac:dyDescent="0.35">
      <c r="A73" s="47"/>
      <c r="B73" s="163"/>
      <c r="C73" s="22"/>
      <c r="D73" s="48"/>
      <c r="F73" s="46"/>
      <c r="G73" s="2"/>
    </row>
    <row r="74" spans="1:7" x14ac:dyDescent="0.3">
      <c r="A74" s="60" t="s">
        <v>210</v>
      </c>
      <c r="B74" s="162"/>
      <c r="C74" s="61" t="s">
        <v>211</v>
      </c>
      <c r="D74" s="62"/>
      <c r="E74" s="62"/>
      <c r="F74" s="63"/>
      <c r="G74" s="64"/>
    </row>
    <row r="75" spans="1:7" x14ac:dyDescent="0.3">
      <c r="A75" s="47"/>
      <c r="B75" s="163"/>
      <c r="C75" s="22"/>
      <c r="D75" s="48"/>
      <c r="F75" s="46"/>
      <c r="G75" s="2"/>
    </row>
    <row r="76" spans="1:7" x14ac:dyDescent="0.3">
      <c r="A76" s="47"/>
      <c r="B76" s="163"/>
      <c r="C76" s="22"/>
      <c r="D76" s="48"/>
      <c r="F76" s="6"/>
      <c r="G76" s="2"/>
    </row>
    <row r="77" spans="1:7" x14ac:dyDescent="0.3">
      <c r="A77" s="47"/>
      <c r="B77" s="163"/>
      <c r="C77" s="22"/>
      <c r="D77" s="48"/>
      <c r="F77" s="6"/>
      <c r="G77" s="2"/>
    </row>
    <row r="78" spans="1:7" x14ac:dyDescent="0.3">
      <c r="A78" s="47"/>
      <c r="B78" s="163"/>
      <c r="C78" s="22"/>
      <c r="D78" s="48"/>
      <c r="F78" s="6"/>
      <c r="G78" s="2"/>
    </row>
    <row r="79" spans="1:7" x14ac:dyDescent="0.3">
      <c r="A79" s="47"/>
      <c r="B79" s="163"/>
      <c r="C79" s="22"/>
      <c r="D79" s="48"/>
      <c r="F79" s="6"/>
      <c r="G79" s="2"/>
    </row>
    <row r="80" spans="1:7" x14ac:dyDescent="0.3">
      <c r="A80" s="47"/>
      <c r="B80" s="163"/>
      <c r="C80" s="22"/>
      <c r="D80" s="48"/>
      <c r="F80" s="6"/>
      <c r="G80" s="2"/>
    </row>
    <row r="81" spans="1:7" x14ac:dyDescent="0.3">
      <c r="A81" s="47"/>
      <c r="B81" s="163"/>
      <c r="C81" s="22"/>
      <c r="D81" s="48"/>
      <c r="F81" s="6"/>
      <c r="G81" s="2"/>
    </row>
    <row r="82" spans="1:7" x14ac:dyDescent="0.3">
      <c r="A82" s="47"/>
      <c r="B82" s="163"/>
      <c r="C82" s="22"/>
      <c r="D82" s="48"/>
      <c r="F82" s="6"/>
      <c r="G82" s="2"/>
    </row>
    <row r="83" spans="1:7" x14ac:dyDescent="0.3">
      <c r="A83" s="1"/>
      <c r="C83" s="22"/>
      <c r="F83" s="6"/>
      <c r="G83" s="2"/>
    </row>
    <row r="84" spans="1:7" ht="15" thickBot="1" x14ac:dyDescent="0.35">
      <c r="A84" s="3"/>
      <c r="B84" s="4"/>
      <c r="C84" s="23"/>
      <c r="D84" s="4"/>
      <c r="E84" s="4"/>
      <c r="F84" s="7"/>
      <c r="G84" s="5"/>
    </row>
    <row r="85" spans="1:7" x14ac:dyDescent="0.3">
      <c r="A85" s="65" t="s">
        <v>9</v>
      </c>
      <c r="B85" s="164"/>
      <c r="C85" s="61" t="s">
        <v>700</v>
      </c>
      <c r="D85" s="66"/>
      <c r="E85" s="66"/>
      <c r="F85" s="67"/>
      <c r="G85" s="68"/>
    </row>
    <row r="86" spans="1:7" x14ac:dyDescent="0.3">
      <c r="A86" s="1"/>
      <c r="C86" s="22"/>
      <c r="F86" s="6"/>
      <c r="G86" s="2"/>
    </row>
    <row r="87" spans="1:7" x14ac:dyDescent="0.3">
      <c r="A87" s="1"/>
      <c r="C87" s="22"/>
      <c r="F87" s="6"/>
      <c r="G87" s="2"/>
    </row>
    <row r="88" spans="1:7" x14ac:dyDescent="0.3">
      <c r="A88" s="1"/>
      <c r="C88" s="22"/>
      <c r="F88" s="6"/>
      <c r="G88" s="2"/>
    </row>
    <row r="89" spans="1:7" x14ac:dyDescent="0.3">
      <c r="A89" s="1"/>
      <c r="C89" s="22"/>
      <c r="F89" s="6"/>
      <c r="G89" s="2"/>
    </row>
    <row r="90" spans="1:7" ht="15" thickBot="1" x14ac:dyDescent="0.35">
      <c r="A90" s="3"/>
      <c r="B90" s="4"/>
      <c r="C90" s="23"/>
      <c r="D90" s="4"/>
      <c r="E90" s="4"/>
      <c r="F90" s="7"/>
      <c r="G90" s="5"/>
    </row>
    <row r="93" spans="1:7" ht="28.8" x14ac:dyDescent="0.3">
      <c r="A93" s="596" t="s">
        <v>7</v>
      </c>
      <c r="B93" s="596"/>
      <c r="C93" s="596"/>
      <c r="D93" s="596"/>
      <c r="E93" s="596"/>
      <c r="F93" s="596"/>
      <c r="G93" s="596"/>
    </row>
    <row r="94" spans="1:7" ht="28.8" x14ac:dyDescent="0.3">
      <c r="A94" s="654" t="s">
        <v>697</v>
      </c>
      <c r="B94" s="654"/>
      <c r="C94" s="654"/>
      <c r="D94" s="654"/>
      <c r="E94" s="654"/>
      <c r="F94" s="654"/>
      <c r="G94" s="654"/>
    </row>
    <row r="95" spans="1:7" ht="28.8" x14ac:dyDescent="0.3">
      <c r="A95" s="150"/>
      <c r="B95" s="150"/>
      <c r="C95" s="150"/>
      <c r="D95" s="150"/>
      <c r="E95" s="150"/>
      <c r="F95" s="150"/>
      <c r="G95" s="150"/>
    </row>
    <row r="96" spans="1:7" ht="21.6" thickBot="1" x14ac:dyDescent="0.45">
      <c r="A96" s="642" t="s">
        <v>701</v>
      </c>
      <c r="B96" s="642"/>
      <c r="C96" s="642"/>
      <c r="D96" s="642"/>
      <c r="E96" s="642"/>
      <c r="F96" s="642"/>
      <c r="G96" s="642"/>
    </row>
    <row r="97" spans="1:7" ht="18.600000000000001" thickBot="1" x14ac:dyDescent="0.35">
      <c r="A97" s="20" t="s">
        <v>0</v>
      </c>
      <c r="B97" s="161"/>
      <c r="C97" s="21" t="s">
        <v>1</v>
      </c>
      <c r="D97" s="598" t="s">
        <v>4</v>
      </c>
      <c r="E97" s="599"/>
      <c r="F97" s="21" t="s">
        <v>2</v>
      </c>
      <c r="G97" s="19" t="s">
        <v>3</v>
      </c>
    </row>
    <row r="98" spans="1:7" x14ac:dyDescent="0.3">
      <c r="A98" s="60" t="s">
        <v>5</v>
      </c>
      <c r="B98" s="162"/>
      <c r="C98" s="61" t="s">
        <v>6</v>
      </c>
      <c r="D98" s="62"/>
      <c r="E98" s="62"/>
      <c r="F98" s="63"/>
      <c r="G98" s="64"/>
    </row>
    <row r="99" spans="1:7" x14ac:dyDescent="0.3">
      <c r="A99" s="50"/>
      <c r="B99" s="51"/>
      <c r="C99" s="54"/>
      <c r="D99" s="51"/>
      <c r="E99" s="51"/>
      <c r="F99" s="52"/>
      <c r="G99" s="53"/>
    </row>
    <row r="100" spans="1:7" x14ac:dyDescent="0.3">
      <c r="A100" s="1"/>
      <c r="C100" s="22"/>
      <c r="D100" s="49"/>
      <c r="F100" s="46"/>
      <c r="G100" s="2"/>
    </row>
    <row r="101" spans="1:7" x14ac:dyDescent="0.3">
      <c r="A101" s="1"/>
      <c r="C101" s="22"/>
      <c r="D101" s="49"/>
      <c r="F101" s="46"/>
      <c r="G101" s="2"/>
    </row>
    <row r="102" spans="1:7" x14ac:dyDescent="0.3">
      <c r="A102" s="1"/>
      <c r="C102" s="22"/>
      <c r="D102" s="49"/>
      <c r="F102" s="6"/>
      <c r="G102" s="2"/>
    </row>
    <row r="103" spans="1:7" x14ac:dyDescent="0.3">
      <c r="A103" s="1"/>
      <c r="C103" s="22"/>
      <c r="D103" s="49"/>
      <c r="F103" s="6"/>
      <c r="G103" s="2"/>
    </row>
    <row r="104" spans="1:7" x14ac:dyDescent="0.3">
      <c r="A104" s="1"/>
      <c r="C104" s="22"/>
      <c r="D104" s="49"/>
      <c r="F104" s="6"/>
      <c r="G104" s="2"/>
    </row>
    <row r="105" spans="1:7" x14ac:dyDescent="0.3">
      <c r="A105" s="1"/>
      <c r="C105" s="22"/>
      <c r="D105" s="49"/>
      <c r="F105" s="6"/>
      <c r="G105" s="2"/>
    </row>
    <row r="106" spans="1:7" ht="15" thickBot="1" x14ac:dyDescent="0.35">
      <c r="A106" s="3"/>
      <c r="B106" s="4"/>
      <c r="C106" s="23"/>
      <c r="D106" s="4"/>
      <c r="E106" s="4"/>
      <c r="F106" s="7"/>
      <c r="G106" s="5"/>
    </row>
    <row r="107" spans="1:7" x14ac:dyDescent="0.3">
      <c r="A107" s="60" t="s">
        <v>209</v>
      </c>
      <c r="B107" s="162"/>
      <c r="C107" s="61" t="s">
        <v>699</v>
      </c>
      <c r="D107" s="62"/>
      <c r="E107" s="62"/>
      <c r="F107" s="63"/>
      <c r="G107" s="64"/>
    </row>
    <row r="108" spans="1:7" x14ac:dyDescent="0.3">
      <c r="A108" s="50"/>
      <c r="B108" s="51"/>
      <c r="C108" s="54"/>
      <c r="D108" s="51"/>
      <c r="E108" s="51"/>
      <c r="F108" s="52"/>
      <c r="G108" s="53"/>
    </row>
    <row r="109" spans="1:7" x14ac:dyDescent="0.3">
      <c r="A109" s="1"/>
      <c r="C109" s="22"/>
      <c r="F109" s="46"/>
      <c r="G109" s="2"/>
    </row>
    <row r="110" spans="1:7" x14ac:dyDescent="0.3">
      <c r="A110" s="1"/>
      <c r="C110" s="22"/>
      <c r="F110" s="46"/>
      <c r="G110" s="2"/>
    </row>
    <row r="111" spans="1:7" x14ac:dyDescent="0.3">
      <c r="A111" s="1"/>
      <c r="C111" s="22"/>
      <c r="F111" s="46"/>
      <c r="G111" s="2"/>
    </row>
    <row r="112" spans="1:7" x14ac:dyDescent="0.3">
      <c r="A112" s="1"/>
      <c r="C112" s="22"/>
      <c r="F112" s="46"/>
      <c r="G112" s="2"/>
    </row>
    <row r="113" spans="1:7" x14ac:dyDescent="0.3">
      <c r="A113" s="1"/>
      <c r="C113" s="22"/>
      <c r="F113" s="46"/>
      <c r="G113" s="2"/>
    </row>
    <row r="114" spans="1:7" x14ac:dyDescent="0.3">
      <c r="A114" s="1"/>
      <c r="C114" s="22"/>
      <c r="F114" s="46"/>
      <c r="G114" s="2"/>
    </row>
    <row r="115" spans="1:7" x14ac:dyDescent="0.3">
      <c r="A115" s="1"/>
      <c r="C115" s="22"/>
      <c r="F115" s="46"/>
      <c r="G115" s="2"/>
    </row>
    <row r="116" spans="1:7" x14ac:dyDescent="0.3">
      <c r="A116" s="47"/>
      <c r="B116" s="163"/>
      <c r="C116" s="22"/>
      <c r="D116" s="48"/>
      <c r="F116" s="46"/>
      <c r="G116" s="2"/>
    </row>
    <row r="117" spans="1:7" x14ac:dyDescent="0.3">
      <c r="A117" s="47"/>
      <c r="B117" s="163"/>
      <c r="C117" s="22"/>
      <c r="D117" s="48"/>
      <c r="F117" s="46"/>
      <c r="G117" s="2"/>
    </row>
    <row r="118" spans="1:7" ht="15" thickBot="1" x14ac:dyDescent="0.35">
      <c r="A118" s="47"/>
      <c r="B118" s="163"/>
      <c r="C118" s="22"/>
      <c r="D118" s="48"/>
      <c r="F118" s="46"/>
      <c r="G118" s="2"/>
    </row>
    <row r="119" spans="1:7" x14ac:dyDescent="0.3">
      <c r="A119" s="60" t="s">
        <v>210</v>
      </c>
      <c r="B119" s="162"/>
      <c r="C119" s="61" t="s">
        <v>211</v>
      </c>
      <c r="D119" s="62"/>
      <c r="E119" s="62"/>
      <c r="F119" s="63"/>
      <c r="G119" s="64"/>
    </row>
    <row r="120" spans="1:7" x14ac:dyDescent="0.3">
      <c r="A120" s="47"/>
      <c r="B120" s="163"/>
      <c r="C120" s="22"/>
      <c r="D120" s="48"/>
      <c r="F120" s="46"/>
      <c r="G120" s="2"/>
    </row>
    <row r="121" spans="1:7" x14ac:dyDescent="0.3">
      <c r="A121" s="47"/>
      <c r="B121" s="163"/>
      <c r="C121" s="22"/>
      <c r="D121" s="48"/>
      <c r="F121" s="6"/>
      <c r="G121" s="2"/>
    </row>
    <row r="122" spans="1:7" x14ac:dyDescent="0.3">
      <c r="A122" s="47"/>
      <c r="B122" s="163"/>
      <c r="C122" s="22"/>
      <c r="D122" s="48"/>
      <c r="F122" s="6"/>
      <c r="G122" s="2"/>
    </row>
    <row r="123" spans="1:7" x14ac:dyDescent="0.3">
      <c r="A123" s="47"/>
      <c r="B123" s="163"/>
      <c r="C123" s="22"/>
      <c r="D123" s="48"/>
      <c r="F123" s="6"/>
      <c r="G123" s="2"/>
    </row>
    <row r="124" spans="1:7" x14ac:dyDescent="0.3">
      <c r="A124" s="47"/>
      <c r="B124" s="163"/>
      <c r="C124" s="22"/>
      <c r="D124" s="48"/>
      <c r="F124" s="6"/>
      <c r="G124" s="2"/>
    </row>
    <row r="125" spans="1:7" x14ac:dyDescent="0.3">
      <c r="A125" s="47"/>
      <c r="B125" s="163"/>
      <c r="C125" s="22"/>
      <c r="D125" s="48"/>
      <c r="F125" s="6"/>
      <c r="G125" s="2"/>
    </row>
    <row r="126" spans="1:7" x14ac:dyDescent="0.3">
      <c r="A126" s="47"/>
      <c r="B126" s="163"/>
      <c r="C126" s="22"/>
      <c r="D126" s="48"/>
      <c r="F126" s="6"/>
      <c r="G126" s="2"/>
    </row>
    <row r="127" spans="1:7" x14ac:dyDescent="0.3">
      <c r="A127" s="47"/>
      <c r="B127" s="163"/>
      <c r="C127" s="22"/>
      <c r="D127" s="48"/>
      <c r="F127" s="6"/>
      <c r="G127" s="2"/>
    </row>
    <row r="128" spans="1:7" x14ac:dyDescent="0.3">
      <c r="A128" s="1"/>
      <c r="C128" s="22"/>
      <c r="F128" s="6"/>
      <c r="G128" s="2"/>
    </row>
    <row r="129" spans="1:7" ht="15" thickBot="1" x14ac:dyDescent="0.35">
      <c r="A129" s="3"/>
      <c r="B129" s="4"/>
      <c r="C129" s="23"/>
      <c r="D129" s="4"/>
      <c r="E129" s="4"/>
      <c r="F129" s="7"/>
      <c r="G129" s="5"/>
    </row>
    <row r="130" spans="1:7" x14ac:dyDescent="0.3">
      <c r="A130" s="65" t="s">
        <v>9</v>
      </c>
      <c r="B130" s="164"/>
      <c r="C130" s="61" t="s">
        <v>700</v>
      </c>
      <c r="D130" s="66"/>
      <c r="E130" s="66"/>
      <c r="F130" s="67"/>
      <c r="G130" s="68"/>
    </row>
    <row r="131" spans="1:7" x14ac:dyDescent="0.3">
      <c r="A131" s="1"/>
      <c r="C131" s="22"/>
      <c r="F131" s="6"/>
      <c r="G131" s="2"/>
    </row>
    <row r="132" spans="1:7" x14ac:dyDescent="0.3">
      <c r="A132" s="1"/>
      <c r="C132" s="22"/>
      <c r="F132" s="6"/>
      <c r="G132" s="2"/>
    </row>
    <row r="133" spans="1:7" x14ac:dyDescent="0.3">
      <c r="A133" s="1"/>
      <c r="C133" s="22"/>
      <c r="F133" s="6"/>
      <c r="G133" s="2"/>
    </row>
    <row r="134" spans="1:7" x14ac:dyDescent="0.3">
      <c r="A134" s="1"/>
      <c r="C134" s="22"/>
      <c r="F134" s="6"/>
      <c r="G134" s="2"/>
    </row>
    <row r="135" spans="1:7" ht="15" thickBot="1" x14ac:dyDescent="0.35">
      <c r="A135" s="3"/>
      <c r="B135" s="4"/>
      <c r="C135" s="23"/>
      <c r="D135" s="4"/>
      <c r="E135" s="4"/>
      <c r="F135" s="7"/>
      <c r="G135" s="5"/>
    </row>
    <row r="139" spans="1:7" ht="28.8" x14ac:dyDescent="0.3">
      <c r="A139" s="596" t="s">
        <v>557</v>
      </c>
      <c r="B139" s="596"/>
      <c r="C139" s="596"/>
      <c r="D139" s="596"/>
      <c r="E139" s="596"/>
      <c r="F139" s="596"/>
      <c r="G139" s="596"/>
    </row>
    <row r="140" spans="1:7" ht="28.8" x14ac:dyDescent="0.3">
      <c r="A140" s="150"/>
      <c r="B140" s="150"/>
      <c r="C140" s="150"/>
      <c r="D140" s="150"/>
      <c r="E140" s="150"/>
      <c r="F140" s="150"/>
      <c r="G140" s="150"/>
    </row>
    <row r="141" spans="1:7" ht="21.6" thickBot="1" x14ac:dyDescent="0.45">
      <c r="A141" s="642" t="s">
        <v>213</v>
      </c>
      <c r="B141" s="642"/>
      <c r="C141" s="642"/>
      <c r="D141" s="642"/>
      <c r="E141" s="642"/>
      <c r="F141" s="642"/>
      <c r="G141" s="642"/>
    </row>
    <row r="142" spans="1:7" ht="18.600000000000001" thickBot="1" x14ac:dyDescent="0.35">
      <c r="A142" s="20" t="s">
        <v>235</v>
      </c>
      <c r="B142" s="161" t="s">
        <v>34</v>
      </c>
      <c r="C142" s="21" t="s">
        <v>1</v>
      </c>
      <c r="D142" s="598" t="s">
        <v>4</v>
      </c>
      <c r="E142" s="599"/>
      <c r="F142" s="21" t="s">
        <v>2</v>
      </c>
      <c r="G142" s="19" t="s">
        <v>3</v>
      </c>
    </row>
    <row r="143" spans="1:7" x14ac:dyDescent="0.3">
      <c r="A143" s="60" t="s">
        <v>237</v>
      </c>
      <c r="B143" s="162"/>
      <c r="C143" s="61" t="s">
        <v>208</v>
      </c>
      <c r="D143" s="62"/>
      <c r="E143" s="62"/>
      <c r="F143" s="63"/>
      <c r="G143" s="64"/>
    </row>
    <row r="144" spans="1:7" x14ac:dyDescent="0.3">
      <c r="A144" s="1" t="s">
        <v>247</v>
      </c>
      <c r="B144" t="s">
        <v>248</v>
      </c>
      <c r="D144" s="612" t="s">
        <v>258</v>
      </c>
      <c r="E144" s="613"/>
      <c r="F144" s="46"/>
      <c r="G144" s="2"/>
    </row>
    <row r="145" spans="1:7" x14ac:dyDescent="0.3">
      <c r="A145" s="1" t="s">
        <v>240</v>
      </c>
      <c r="B145" t="s">
        <v>234</v>
      </c>
      <c r="D145" s="612" t="s">
        <v>259</v>
      </c>
      <c r="E145" s="613"/>
      <c r="F145" s="46"/>
      <c r="G145" s="2"/>
    </row>
    <row r="146" spans="1:7" x14ac:dyDescent="0.3">
      <c r="A146" s="1" t="s">
        <v>241</v>
      </c>
      <c r="B146" t="s">
        <v>249</v>
      </c>
      <c r="D146" s="612" t="s">
        <v>260</v>
      </c>
      <c r="E146" s="613"/>
      <c r="F146" s="6"/>
      <c r="G146" s="2"/>
    </row>
    <row r="147" spans="1:7" x14ac:dyDescent="0.3">
      <c r="A147" s="1" t="s">
        <v>242</v>
      </c>
      <c r="B147" t="s">
        <v>250</v>
      </c>
      <c r="D147" s="612" t="s">
        <v>261</v>
      </c>
      <c r="E147" s="613"/>
      <c r="F147" s="6"/>
      <c r="G147" s="2"/>
    </row>
    <row r="148" spans="1:7" x14ac:dyDescent="0.3">
      <c r="A148" s="1" t="s">
        <v>243</v>
      </c>
      <c r="B148" t="s">
        <v>251</v>
      </c>
      <c r="D148" s="612" t="s">
        <v>262</v>
      </c>
      <c r="E148" s="613"/>
      <c r="F148" s="6"/>
      <c r="G148" s="2"/>
    </row>
    <row r="149" spans="1:7" x14ac:dyDescent="0.3">
      <c r="A149" s="1" t="s">
        <v>263</v>
      </c>
      <c r="B149" t="s">
        <v>264</v>
      </c>
      <c r="C149" s="22"/>
      <c r="D149" s="49" t="s">
        <v>265</v>
      </c>
      <c r="F149" s="6"/>
      <c r="G149" s="2"/>
    </row>
    <row r="150" spans="1:7" x14ac:dyDescent="0.3">
      <c r="A150" s="1"/>
      <c r="C150" s="22"/>
      <c r="F150" s="46"/>
      <c r="G150" s="2"/>
    </row>
    <row r="151" spans="1:7" ht="15" thickBot="1" x14ac:dyDescent="0.35">
      <c r="A151" s="47"/>
      <c r="B151" s="163"/>
      <c r="C151" s="22"/>
      <c r="D151" s="48"/>
      <c r="F151" s="46"/>
      <c r="G151" s="2"/>
    </row>
    <row r="152" spans="1:7" x14ac:dyDescent="0.3">
      <c r="A152" s="60" t="s">
        <v>238</v>
      </c>
      <c r="B152" s="162"/>
      <c r="C152" s="61" t="s">
        <v>211</v>
      </c>
      <c r="D152" s="62"/>
      <c r="E152" s="62"/>
      <c r="F152" s="63"/>
      <c r="G152" s="64"/>
    </row>
    <row r="153" spans="1:7" ht="32.4" customHeight="1" x14ac:dyDescent="0.3">
      <c r="A153" s="47" t="s">
        <v>244</v>
      </c>
      <c r="B153" s="163" t="s">
        <v>252</v>
      </c>
      <c r="C153" s="22"/>
      <c r="D153" s="655" t="s">
        <v>254</v>
      </c>
      <c r="E153" s="656"/>
      <c r="F153" s="46" t="s">
        <v>257</v>
      </c>
      <c r="G153" s="2"/>
    </row>
    <row r="154" spans="1:7" ht="28.8" customHeight="1" x14ac:dyDescent="0.3">
      <c r="A154" s="47" t="s">
        <v>245</v>
      </c>
      <c r="B154" s="163" t="s">
        <v>253</v>
      </c>
      <c r="C154" s="22"/>
      <c r="D154" s="655" t="s">
        <v>256</v>
      </c>
      <c r="E154" s="656"/>
      <c r="F154" s="6" t="s">
        <v>255</v>
      </c>
      <c r="G154" s="2"/>
    </row>
    <row r="155" spans="1:7" x14ac:dyDescent="0.3">
      <c r="A155" s="47" t="s">
        <v>246</v>
      </c>
      <c r="B155" s="163"/>
      <c r="C155" s="22"/>
      <c r="D155" s="48" t="s">
        <v>42</v>
      </c>
      <c r="F155" s="6"/>
      <c r="G155" s="2"/>
    </row>
    <row r="156" spans="1:7" x14ac:dyDescent="0.3">
      <c r="A156" s="47"/>
      <c r="B156" s="163"/>
      <c r="C156" s="22"/>
      <c r="D156" s="48"/>
      <c r="F156" s="6"/>
      <c r="G156" s="2"/>
    </row>
    <row r="157" spans="1:7" x14ac:dyDescent="0.3">
      <c r="A157" s="47"/>
      <c r="B157" s="163"/>
      <c r="C157" s="22"/>
      <c r="D157" s="48"/>
      <c r="F157" s="6"/>
      <c r="G157" s="2"/>
    </row>
    <row r="158" spans="1:7" ht="15" thickBot="1" x14ac:dyDescent="0.35">
      <c r="A158" s="47"/>
      <c r="B158" s="163"/>
      <c r="C158" s="22"/>
      <c r="D158" s="48"/>
      <c r="F158" s="6"/>
      <c r="G158" s="2"/>
    </row>
    <row r="159" spans="1:7" x14ac:dyDescent="0.3">
      <c r="A159" s="60" t="s">
        <v>236</v>
      </c>
      <c r="B159" s="162"/>
      <c r="C159" s="61" t="s">
        <v>239</v>
      </c>
      <c r="D159" s="62"/>
      <c r="E159" s="62"/>
      <c r="F159" s="63"/>
      <c r="G159" s="64"/>
    </row>
    <row r="160" spans="1:7" x14ac:dyDescent="0.3">
      <c r="A160" s="47"/>
      <c r="B160" s="163"/>
      <c r="C160" s="22"/>
      <c r="D160" s="48"/>
      <c r="F160" s="6"/>
      <c r="G160" s="2"/>
    </row>
    <row r="161" spans="1:7" x14ac:dyDescent="0.3">
      <c r="A161" s="47"/>
      <c r="B161" s="163"/>
      <c r="C161" s="22"/>
      <c r="D161" s="48"/>
      <c r="F161" s="6"/>
      <c r="G161" s="2"/>
    </row>
    <row r="162" spans="1:7" x14ac:dyDescent="0.3">
      <c r="A162" s="47"/>
      <c r="B162" s="163"/>
      <c r="C162" s="22"/>
      <c r="D162" s="48"/>
      <c r="F162" s="6"/>
      <c r="G162" s="2"/>
    </row>
    <row r="163" spans="1:7" x14ac:dyDescent="0.3">
      <c r="A163" s="47"/>
      <c r="B163" s="163"/>
      <c r="C163" s="22"/>
      <c r="D163" s="48"/>
      <c r="F163" s="6"/>
      <c r="G163" s="2"/>
    </row>
    <row r="164" spans="1:7" x14ac:dyDescent="0.3">
      <c r="A164" s="47"/>
      <c r="B164" s="163"/>
      <c r="C164" s="22"/>
      <c r="D164" s="48"/>
      <c r="F164" s="6"/>
      <c r="G164" s="2"/>
    </row>
    <row r="165" spans="1:7" x14ac:dyDescent="0.3">
      <c r="A165" s="47"/>
      <c r="B165" s="163"/>
      <c r="C165" s="22"/>
      <c r="D165" s="48"/>
      <c r="F165" s="6"/>
      <c r="G165" s="2"/>
    </row>
    <row r="166" spans="1:7" x14ac:dyDescent="0.3">
      <c r="A166" s="47"/>
      <c r="B166" s="163"/>
      <c r="C166" s="22"/>
      <c r="D166" s="48"/>
      <c r="F166" s="6"/>
      <c r="G166" s="2"/>
    </row>
    <row r="167" spans="1:7" x14ac:dyDescent="0.3">
      <c r="A167" s="1"/>
      <c r="C167" s="22"/>
      <c r="F167" s="6"/>
      <c r="G167" s="2"/>
    </row>
    <row r="168" spans="1:7" ht="15" thickBot="1" x14ac:dyDescent="0.35">
      <c r="A168" s="3"/>
      <c r="B168" s="4"/>
      <c r="C168" s="23"/>
      <c r="D168" s="4"/>
      <c r="E168" s="4"/>
      <c r="F168" s="7"/>
      <c r="G168" s="5"/>
    </row>
    <row r="169" spans="1:7" x14ac:dyDescent="0.3">
      <c r="A169" s="65" t="s">
        <v>9</v>
      </c>
      <c r="B169" s="164"/>
      <c r="C169" s="61" t="s">
        <v>212</v>
      </c>
      <c r="D169" s="66"/>
      <c r="E169" s="66"/>
      <c r="F169" s="67"/>
      <c r="G169" s="68"/>
    </row>
    <row r="170" spans="1:7" x14ac:dyDescent="0.3">
      <c r="A170" s="1"/>
      <c r="C170" s="22"/>
      <c r="F170" s="6"/>
      <c r="G170" s="2"/>
    </row>
    <row r="171" spans="1:7" x14ac:dyDescent="0.3">
      <c r="A171" s="1"/>
      <c r="C171" s="22"/>
      <c r="F171" s="6"/>
      <c r="G171" s="2"/>
    </row>
    <row r="172" spans="1:7" x14ac:dyDescent="0.3">
      <c r="A172" s="1"/>
      <c r="C172" s="22"/>
      <c r="F172" s="6"/>
      <c r="G172" s="2"/>
    </row>
    <row r="173" spans="1:7" x14ac:dyDescent="0.3">
      <c r="A173" s="1"/>
      <c r="C173" s="22"/>
      <c r="F173" s="6"/>
      <c r="G173" s="2"/>
    </row>
    <row r="174" spans="1:7" ht="15" thickBot="1" x14ac:dyDescent="0.35">
      <c r="A174" s="3"/>
      <c r="B174" s="4"/>
      <c r="C174" s="23"/>
      <c r="D174" s="4"/>
      <c r="E174" s="4"/>
      <c r="F174" s="7"/>
      <c r="G174" s="5"/>
    </row>
    <row r="177" spans="1:7" ht="28.8" x14ac:dyDescent="0.3">
      <c r="A177" s="654" t="s">
        <v>215</v>
      </c>
      <c r="B177" s="654"/>
      <c r="C177" s="654"/>
      <c r="D177" s="654"/>
      <c r="E177" s="654"/>
      <c r="F177" s="654"/>
      <c r="G177" s="654"/>
    </row>
    <row r="178" spans="1:7" ht="28.8" x14ac:dyDescent="0.3">
      <c r="A178" s="151"/>
      <c r="B178" s="151"/>
      <c r="C178" s="150"/>
      <c r="D178" s="150"/>
      <c r="E178" s="150"/>
      <c r="F178" s="150"/>
      <c r="G178" s="150"/>
    </row>
    <row r="179" spans="1:7" ht="21.6" thickBot="1" x14ac:dyDescent="0.45">
      <c r="A179" s="642" t="s">
        <v>214</v>
      </c>
      <c r="B179" s="642"/>
      <c r="C179" s="642"/>
      <c r="D179" s="642"/>
      <c r="E179" s="642"/>
      <c r="F179" s="642"/>
      <c r="G179" s="642"/>
    </row>
    <row r="180" spans="1:7" ht="18.600000000000001" thickBot="1" x14ac:dyDescent="0.35">
      <c r="A180" s="20" t="s">
        <v>0</v>
      </c>
      <c r="B180" s="161"/>
      <c r="C180" s="21" t="s">
        <v>1</v>
      </c>
      <c r="D180" s="598" t="s">
        <v>4</v>
      </c>
      <c r="E180" s="599"/>
      <c r="F180" s="21" t="s">
        <v>2</v>
      </c>
      <c r="G180" s="19" t="s">
        <v>3</v>
      </c>
    </row>
    <row r="181" spans="1:7" x14ac:dyDescent="0.3">
      <c r="A181" s="60" t="s">
        <v>5</v>
      </c>
      <c r="B181" s="162"/>
      <c r="C181" s="61" t="s">
        <v>6</v>
      </c>
      <c r="D181" s="62"/>
      <c r="E181" s="62"/>
      <c r="F181" s="63"/>
      <c r="G181" s="64"/>
    </row>
    <row r="182" spans="1:7" x14ac:dyDescent="0.3">
      <c r="A182" s="50"/>
      <c r="B182" s="51"/>
      <c r="C182" s="54"/>
      <c r="D182" s="51"/>
      <c r="E182" s="51"/>
      <c r="F182" s="52"/>
      <c r="G182" s="53"/>
    </row>
    <row r="183" spans="1:7" x14ac:dyDescent="0.3">
      <c r="A183" s="1"/>
      <c r="C183" s="22"/>
      <c r="D183" s="49"/>
      <c r="F183" s="46"/>
      <c r="G183" s="2"/>
    </row>
    <row r="184" spans="1:7" x14ac:dyDescent="0.3">
      <c r="A184" s="1"/>
      <c r="C184" s="22"/>
      <c r="D184" s="49"/>
      <c r="F184" s="46"/>
      <c r="G184" s="2"/>
    </row>
    <row r="185" spans="1:7" x14ac:dyDescent="0.3">
      <c r="A185" s="1"/>
      <c r="C185" s="22"/>
      <c r="D185" s="49"/>
      <c r="F185" s="6"/>
      <c r="G185" s="2"/>
    </row>
    <row r="186" spans="1:7" x14ac:dyDescent="0.3">
      <c r="A186" s="1"/>
      <c r="C186" s="22"/>
      <c r="D186" s="49"/>
      <c r="F186" s="6"/>
      <c r="G186" s="2"/>
    </row>
    <row r="187" spans="1:7" x14ac:dyDescent="0.3">
      <c r="A187" s="1"/>
      <c r="C187" s="22"/>
      <c r="D187" s="49"/>
      <c r="F187" s="6"/>
      <c r="G187" s="2"/>
    </row>
    <row r="188" spans="1:7" x14ac:dyDescent="0.3">
      <c r="A188" s="1"/>
      <c r="C188" s="22"/>
      <c r="D188" s="49"/>
      <c r="F188" s="6"/>
      <c r="G188" s="2"/>
    </row>
    <row r="189" spans="1:7" ht="15" thickBot="1" x14ac:dyDescent="0.35">
      <c r="A189" s="3"/>
      <c r="B189" s="4"/>
      <c r="C189" s="23"/>
      <c r="D189" s="4"/>
      <c r="E189" s="4"/>
      <c r="F189" s="7"/>
      <c r="G189" s="5"/>
    </row>
    <row r="190" spans="1:7" x14ac:dyDescent="0.3">
      <c r="A190" s="60" t="s">
        <v>209</v>
      </c>
      <c r="B190" s="162"/>
      <c r="C190" s="61" t="s">
        <v>208</v>
      </c>
      <c r="D190" s="62"/>
      <c r="E190" s="62"/>
      <c r="F190" s="63"/>
      <c r="G190" s="64"/>
    </row>
    <row r="191" spans="1:7" x14ac:dyDescent="0.3">
      <c r="A191" s="50"/>
      <c r="B191" s="51"/>
      <c r="C191" s="54"/>
      <c r="D191" s="51"/>
      <c r="E191" s="51"/>
      <c r="F191" s="52"/>
      <c r="G191" s="53"/>
    </row>
    <row r="192" spans="1:7" x14ac:dyDescent="0.3">
      <c r="A192" s="1"/>
      <c r="C192" s="22"/>
      <c r="F192" s="46"/>
      <c r="G192" s="2"/>
    </row>
    <row r="193" spans="1:7" x14ac:dyDescent="0.3">
      <c r="A193" s="1"/>
      <c r="C193" s="22"/>
      <c r="F193" s="46"/>
      <c r="G193" s="2"/>
    </row>
    <row r="194" spans="1:7" x14ac:dyDescent="0.3">
      <c r="A194" s="1"/>
      <c r="C194" s="22"/>
      <c r="F194" s="46"/>
      <c r="G194" s="2"/>
    </row>
    <row r="195" spans="1:7" x14ac:dyDescent="0.3">
      <c r="A195" s="1"/>
      <c r="C195" s="22"/>
      <c r="F195" s="46"/>
      <c r="G195" s="2"/>
    </row>
    <row r="196" spans="1:7" x14ac:dyDescent="0.3">
      <c r="A196" s="1"/>
      <c r="C196" s="22"/>
      <c r="F196" s="46"/>
      <c r="G196" s="2"/>
    </row>
    <row r="197" spans="1:7" x14ac:dyDescent="0.3">
      <c r="A197" s="1"/>
      <c r="C197" s="22"/>
      <c r="F197" s="46"/>
      <c r="G197" s="2"/>
    </row>
    <row r="198" spans="1:7" ht="17.399999999999999" customHeight="1" x14ac:dyDescent="0.3">
      <c r="A198" s="1"/>
      <c r="C198" s="22"/>
      <c r="F198" s="46"/>
      <c r="G198" s="2"/>
    </row>
    <row r="199" spans="1:7" ht="16.8" customHeight="1" x14ac:dyDescent="0.3">
      <c r="A199" s="47"/>
      <c r="B199" s="163"/>
      <c r="C199" s="22"/>
      <c r="D199" s="48"/>
      <c r="F199" s="46"/>
      <c r="G199" s="2"/>
    </row>
    <row r="200" spans="1:7" x14ac:dyDescent="0.3">
      <c r="A200" s="47"/>
      <c r="B200" s="163"/>
      <c r="C200" s="22"/>
      <c r="D200" s="48"/>
      <c r="F200" s="46"/>
      <c r="G200" s="2"/>
    </row>
    <row r="201" spans="1:7" ht="15" thickBot="1" x14ac:dyDescent="0.35">
      <c r="A201" s="47"/>
      <c r="B201" s="163"/>
      <c r="C201" s="22"/>
      <c r="D201" s="48"/>
      <c r="F201" s="46"/>
      <c r="G201" s="2"/>
    </row>
    <row r="202" spans="1:7" x14ac:dyDescent="0.3">
      <c r="A202" s="60" t="s">
        <v>210</v>
      </c>
      <c r="B202" s="162"/>
      <c r="C202" s="61" t="s">
        <v>211</v>
      </c>
      <c r="D202" s="62"/>
      <c r="E202" s="62"/>
      <c r="F202" s="63"/>
      <c r="G202" s="64"/>
    </row>
    <row r="203" spans="1:7" x14ac:dyDescent="0.3">
      <c r="A203" s="47"/>
      <c r="B203" s="163"/>
      <c r="C203" s="22"/>
      <c r="D203" s="48"/>
      <c r="F203" s="46"/>
      <c r="G203" s="2"/>
    </row>
    <row r="204" spans="1:7" x14ac:dyDescent="0.3">
      <c r="A204" s="47"/>
      <c r="B204" s="163"/>
      <c r="C204" s="22"/>
      <c r="D204" s="48"/>
      <c r="F204" s="6"/>
      <c r="G204" s="2"/>
    </row>
    <row r="205" spans="1:7" x14ac:dyDescent="0.3">
      <c r="A205" s="47"/>
      <c r="B205" s="163"/>
      <c r="C205" s="22"/>
      <c r="D205" s="48"/>
      <c r="F205" s="6"/>
      <c r="G205" s="2"/>
    </row>
    <row r="206" spans="1:7" x14ac:dyDescent="0.3">
      <c r="A206" s="47"/>
      <c r="B206" s="163"/>
      <c r="C206" s="22"/>
      <c r="D206" s="48"/>
      <c r="F206" s="6"/>
      <c r="G206" s="2"/>
    </row>
    <row r="207" spans="1:7" x14ac:dyDescent="0.3">
      <c r="A207" s="47"/>
      <c r="B207" s="163"/>
      <c r="C207" s="22"/>
      <c r="D207" s="48"/>
      <c r="F207" s="6"/>
      <c r="G207" s="2"/>
    </row>
    <row r="208" spans="1:7" x14ac:dyDescent="0.3">
      <c r="A208" s="47"/>
      <c r="B208" s="163"/>
      <c r="C208" s="22"/>
      <c r="D208" s="48"/>
      <c r="F208" s="6"/>
      <c r="G208" s="2"/>
    </row>
    <row r="209" spans="1:7" x14ac:dyDescent="0.3">
      <c r="A209" s="47"/>
      <c r="B209" s="163"/>
      <c r="C209" s="22"/>
      <c r="D209" s="48"/>
      <c r="F209" s="6"/>
      <c r="G209" s="2"/>
    </row>
    <row r="210" spans="1:7" x14ac:dyDescent="0.3">
      <c r="A210" s="47"/>
      <c r="B210" s="163"/>
      <c r="C210" s="22"/>
      <c r="D210" s="48"/>
      <c r="F210" s="6"/>
      <c r="G210" s="2"/>
    </row>
    <row r="211" spans="1:7" x14ac:dyDescent="0.3">
      <c r="A211" s="1"/>
      <c r="C211" s="22"/>
      <c r="F211" s="6"/>
      <c r="G211" s="2"/>
    </row>
    <row r="212" spans="1:7" ht="15" thickBot="1" x14ac:dyDescent="0.35">
      <c r="A212" s="3"/>
      <c r="B212" s="4"/>
      <c r="C212" s="23"/>
      <c r="D212" s="4"/>
      <c r="E212" s="4"/>
      <c r="F212" s="7"/>
      <c r="G212" s="5"/>
    </row>
    <row r="213" spans="1:7" x14ac:dyDescent="0.3">
      <c r="A213" s="65" t="s">
        <v>9</v>
      </c>
      <c r="B213" s="164"/>
      <c r="C213" s="61" t="s">
        <v>212</v>
      </c>
      <c r="D213" s="66"/>
      <c r="E213" s="66"/>
      <c r="F213" s="67"/>
      <c r="G213" s="68"/>
    </row>
    <row r="214" spans="1:7" x14ac:dyDescent="0.3">
      <c r="A214" s="1"/>
      <c r="C214" s="22"/>
      <c r="F214" s="6"/>
      <c r="G214" s="2"/>
    </row>
    <row r="215" spans="1:7" x14ac:dyDescent="0.3">
      <c r="A215" s="1"/>
      <c r="C215" s="22"/>
      <c r="F215" s="6"/>
      <c r="G215" s="2"/>
    </row>
    <row r="216" spans="1:7" x14ac:dyDescent="0.3">
      <c r="A216" s="1"/>
      <c r="C216" s="22"/>
      <c r="F216" s="6"/>
      <c r="G216" s="2"/>
    </row>
    <row r="217" spans="1:7" x14ac:dyDescent="0.3">
      <c r="A217" s="1"/>
      <c r="C217" s="22"/>
      <c r="F217" s="6"/>
      <c r="G217" s="2"/>
    </row>
    <row r="218" spans="1:7" ht="15" thickBot="1" x14ac:dyDescent="0.35">
      <c r="A218" s="3"/>
      <c r="B218" s="4"/>
      <c r="C218" s="23"/>
      <c r="D218" s="4"/>
      <c r="E218" s="4"/>
      <c r="F218" s="7"/>
      <c r="G218" s="5"/>
    </row>
    <row r="223" spans="1:7" ht="28.8" x14ac:dyDescent="0.3">
      <c r="A223" s="596" t="s">
        <v>7</v>
      </c>
      <c r="B223" s="596"/>
      <c r="C223" s="596"/>
      <c r="D223" s="596"/>
      <c r="E223" s="596"/>
      <c r="F223" s="596"/>
      <c r="G223" s="596"/>
    </row>
    <row r="224" spans="1:7" ht="28.8" x14ac:dyDescent="0.3">
      <c r="A224" s="150"/>
      <c r="B224" s="150"/>
      <c r="C224" s="150"/>
      <c r="D224" s="150"/>
      <c r="E224" s="150"/>
      <c r="F224" s="150"/>
      <c r="G224" s="150"/>
    </row>
    <row r="225" spans="1:7" ht="21.6" thickBot="1" x14ac:dyDescent="0.45">
      <c r="A225" s="642" t="s">
        <v>268</v>
      </c>
      <c r="B225" s="642"/>
      <c r="C225" s="642"/>
      <c r="D225" s="642"/>
      <c r="E225" s="642"/>
      <c r="F225" s="642"/>
      <c r="G225" s="642"/>
    </row>
    <row r="226" spans="1:7" ht="18.600000000000001" thickBot="1" x14ac:dyDescent="0.35">
      <c r="A226" s="20" t="s">
        <v>235</v>
      </c>
      <c r="B226" s="161" t="s">
        <v>34</v>
      </c>
      <c r="C226" s="21" t="s">
        <v>1</v>
      </c>
      <c r="D226" s="598" t="s">
        <v>4</v>
      </c>
      <c r="E226" s="599"/>
      <c r="F226" s="21" t="s">
        <v>2</v>
      </c>
      <c r="G226" s="19" t="s">
        <v>3</v>
      </c>
    </row>
    <row r="227" spans="1:7" x14ac:dyDescent="0.3">
      <c r="A227" s="60" t="s">
        <v>237</v>
      </c>
      <c r="B227" s="162"/>
      <c r="C227" s="61" t="s">
        <v>208</v>
      </c>
      <c r="D227" s="62"/>
      <c r="E227" s="62"/>
      <c r="F227" s="63"/>
      <c r="G227" s="64"/>
    </row>
    <row r="228" spans="1:7" x14ac:dyDescent="0.3">
      <c r="A228" s="1" t="s">
        <v>247</v>
      </c>
      <c r="B228" t="s">
        <v>248</v>
      </c>
      <c r="D228" s="612" t="s">
        <v>258</v>
      </c>
      <c r="E228" s="613"/>
      <c r="F228" s="46"/>
      <c r="G228" s="2"/>
    </row>
    <row r="229" spans="1:7" x14ac:dyDescent="0.3">
      <c r="A229" s="1" t="s">
        <v>240</v>
      </c>
      <c r="B229" t="s">
        <v>234</v>
      </c>
      <c r="D229" s="612" t="s">
        <v>259</v>
      </c>
      <c r="E229" s="613"/>
      <c r="F229" s="46"/>
      <c r="G229" s="2"/>
    </row>
    <row r="230" spans="1:7" x14ac:dyDescent="0.3">
      <c r="A230" s="1" t="s">
        <v>241</v>
      </c>
      <c r="B230" t="s">
        <v>249</v>
      </c>
      <c r="D230" s="612" t="s">
        <v>262</v>
      </c>
      <c r="E230" s="613"/>
      <c r="F230" s="6"/>
      <c r="G230" s="2"/>
    </row>
    <row r="231" spans="1:7" x14ac:dyDescent="0.3">
      <c r="A231" s="1" t="s">
        <v>242</v>
      </c>
      <c r="B231" t="s">
        <v>250</v>
      </c>
      <c r="D231" s="612" t="s">
        <v>261</v>
      </c>
      <c r="E231" s="613"/>
      <c r="F231" s="6"/>
      <c r="G231" s="2"/>
    </row>
    <row r="232" spans="1:7" x14ac:dyDescent="0.3">
      <c r="A232" s="1" t="s">
        <v>243</v>
      </c>
      <c r="B232" t="s">
        <v>251</v>
      </c>
      <c r="D232" s="612" t="s">
        <v>262</v>
      </c>
      <c r="E232" s="613"/>
      <c r="F232" s="6"/>
      <c r="G232" s="2"/>
    </row>
    <row r="233" spans="1:7" x14ac:dyDescent="0.3">
      <c r="A233" s="1" t="s">
        <v>263</v>
      </c>
      <c r="B233" t="s">
        <v>264</v>
      </c>
      <c r="C233" s="22"/>
      <c r="D233" s="49" t="s">
        <v>326</v>
      </c>
      <c r="F233" s="6"/>
      <c r="G233" s="2"/>
    </row>
    <row r="234" spans="1:7" x14ac:dyDescent="0.3">
      <c r="A234" s="1" t="s">
        <v>320</v>
      </c>
      <c r="B234" t="s">
        <v>321</v>
      </c>
      <c r="C234" s="22"/>
      <c r="D234" s="612" t="s">
        <v>322</v>
      </c>
      <c r="E234" s="613"/>
      <c r="F234" s="46"/>
      <c r="G234" s="2"/>
    </row>
    <row r="235" spans="1:7" ht="28.8" customHeight="1" x14ac:dyDescent="0.3">
      <c r="A235" s="186" t="s">
        <v>323</v>
      </c>
      <c r="B235" s="81" t="s">
        <v>324</v>
      </c>
      <c r="C235" s="22"/>
      <c r="D235" s="612" t="s">
        <v>325</v>
      </c>
      <c r="E235" s="613"/>
      <c r="F235" s="46"/>
      <c r="G235" s="2"/>
    </row>
    <row r="236" spans="1:7" x14ac:dyDescent="0.3">
      <c r="A236" s="1"/>
      <c r="C236" s="22"/>
      <c r="D236" s="185"/>
      <c r="E236" s="185"/>
      <c r="F236" s="46"/>
      <c r="G236" s="2"/>
    </row>
    <row r="237" spans="1:7" ht="15" thickBot="1" x14ac:dyDescent="0.35">
      <c r="A237" s="47"/>
      <c r="B237" s="163"/>
      <c r="C237" s="22"/>
      <c r="D237" s="48"/>
      <c r="F237" s="46"/>
      <c r="G237" s="2"/>
    </row>
    <row r="238" spans="1:7" x14ac:dyDescent="0.3">
      <c r="A238" s="60" t="s">
        <v>238</v>
      </c>
      <c r="B238" s="162"/>
      <c r="C238" s="61" t="s">
        <v>211</v>
      </c>
      <c r="D238" s="62"/>
      <c r="E238" s="62"/>
      <c r="F238" s="63"/>
      <c r="G238" s="64"/>
    </row>
    <row r="239" spans="1:7" ht="32.4" customHeight="1" x14ac:dyDescent="0.3">
      <c r="A239" s="47" t="s">
        <v>244</v>
      </c>
      <c r="B239" s="163" t="s">
        <v>252</v>
      </c>
      <c r="C239" s="22"/>
      <c r="D239" s="655" t="s">
        <v>254</v>
      </c>
      <c r="E239" s="656"/>
      <c r="F239" s="46" t="s">
        <v>257</v>
      </c>
      <c r="G239" s="2"/>
    </row>
    <row r="240" spans="1:7" ht="28.8" customHeight="1" x14ac:dyDescent="0.3">
      <c r="A240" s="47" t="s">
        <v>245</v>
      </c>
      <c r="B240" s="163" t="s">
        <v>253</v>
      </c>
      <c r="C240" s="22"/>
      <c r="D240" s="655" t="s">
        <v>256</v>
      </c>
      <c r="E240" s="656"/>
      <c r="F240" s="6" t="s">
        <v>255</v>
      </c>
      <c r="G240" s="2" t="s">
        <v>317</v>
      </c>
    </row>
    <row r="241" spans="1:7" x14ac:dyDescent="0.3">
      <c r="A241" s="47"/>
      <c r="B241" s="163"/>
      <c r="C241" s="22"/>
      <c r="D241" s="48"/>
      <c r="F241" s="6"/>
      <c r="G241" s="2"/>
    </row>
    <row r="242" spans="1:7" x14ac:dyDescent="0.3">
      <c r="A242" s="47" t="s">
        <v>246</v>
      </c>
      <c r="B242" s="163"/>
      <c r="C242" s="22"/>
      <c r="D242" s="48"/>
      <c r="F242" s="6"/>
      <c r="G242" s="48" t="s">
        <v>42</v>
      </c>
    </row>
    <row r="243" spans="1:7" x14ac:dyDescent="0.3">
      <c r="A243" s="47" t="s">
        <v>263</v>
      </c>
      <c r="B243" s="163"/>
      <c r="C243" s="22"/>
      <c r="D243" s="48" t="s">
        <v>311</v>
      </c>
      <c r="F243" s="6" t="s">
        <v>312</v>
      </c>
      <c r="G243" s="2" t="s">
        <v>313</v>
      </c>
    </row>
    <row r="244" spans="1:7" x14ac:dyDescent="0.3">
      <c r="A244" s="47"/>
      <c r="B244" s="163"/>
      <c r="C244" s="22"/>
      <c r="D244" s="48"/>
      <c r="F244" s="6"/>
      <c r="G244" s="2"/>
    </row>
    <row r="245" spans="1:7" x14ac:dyDescent="0.3">
      <c r="A245" s="47"/>
      <c r="B245" s="163"/>
      <c r="C245" s="22"/>
      <c r="D245" s="48"/>
      <c r="F245" s="6"/>
      <c r="G245" s="2"/>
    </row>
    <row r="246" spans="1:7" ht="15" thickBot="1" x14ac:dyDescent="0.35">
      <c r="A246" s="47"/>
      <c r="B246" s="163"/>
      <c r="C246" s="22"/>
      <c r="D246" s="48"/>
      <c r="F246" s="6"/>
      <c r="G246" s="2"/>
    </row>
    <row r="247" spans="1:7" x14ac:dyDescent="0.3">
      <c r="A247" s="60" t="s">
        <v>236</v>
      </c>
      <c r="B247" s="162"/>
      <c r="C247" s="61" t="s">
        <v>239</v>
      </c>
      <c r="D247" s="62"/>
      <c r="E247" s="62"/>
      <c r="F247" s="63"/>
      <c r="G247" s="64"/>
    </row>
    <row r="248" spans="1:7" x14ac:dyDescent="0.3">
      <c r="A248" t="s">
        <v>309</v>
      </c>
      <c r="B248" s="163"/>
      <c r="C248" s="22"/>
      <c r="D248" s="48" t="s">
        <v>269</v>
      </c>
      <c r="E248" t="s">
        <v>272</v>
      </c>
      <c r="F248" s="46"/>
      <c r="G248" s="2" t="s">
        <v>310</v>
      </c>
    </row>
    <row r="249" spans="1:7" x14ac:dyDescent="0.3">
      <c r="A249" s="47" t="s">
        <v>270</v>
      </c>
      <c r="B249" s="163"/>
      <c r="C249" s="22"/>
      <c r="D249" s="48" t="s">
        <v>271</v>
      </c>
      <c r="E249" t="s">
        <v>273</v>
      </c>
      <c r="F249" s="6" t="s">
        <v>274</v>
      </c>
      <c r="G249" s="2" t="s">
        <v>314</v>
      </c>
    </row>
    <row r="250" spans="1:7" x14ac:dyDescent="0.3">
      <c r="A250" s="47" t="s">
        <v>276</v>
      </c>
      <c r="B250" s="163"/>
      <c r="C250" s="22"/>
      <c r="D250" s="48"/>
      <c r="E250" t="s">
        <v>275</v>
      </c>
      <c r="F250" s="6" t="s">
        <v>274</v>
      </c>
      <c r="G250" s="2" t="s">
        <v>315</v>
      </c>
    </row>
    <row r="251" spans="1:7" x14ac:dyDescent="0.3">
      <c r="A251" s="47" t="s">
        <v>277</v>
      </c>
      <c r="B251" s="163"/>
      <c r="C251" s="22"/>
      <c r="D251" s="48" t="s">
        <v>278</v>
      </c>
      <c r="F251" s="6" t="s">
        <v>274</v>
      </c>
      <c r="G251" s="2" t="s">
        <v>279</v>
      </c>
    </row>
    <row r="252" spans="1:7" x14ac:dyDescent="0.3">
      <c r="A252" s="47" t="s">
        <v>280</v>
      </c>
      <c r="B252" s="163"/>
      <c r="C252" s="22"/>
      <c r="D252" s="48" t="s">
        <v>281</v>
      </c>
      <c r="E252" t="s">
        <v>282</v>
      </c>
      <c r="F252" s="6"/>
      <c r="G252" s="2" t="s">
        <v>283</v>
      </c>
    </row>
    <row r="253" spans="1:7" x14ac:dyDescent="0.3">
      <c r="A253" s="47"/>
      <c r="B253" s="163"/>
      <c r="C253" s="22"/>
      <c r="D253" s="48"/>
      <c r="F253" s="6"/>
      <c r="G253" s="2"/>
    </row>
    <row r="254" spans="1:7" x14ac:dyDescent="0.3">
      <c r="A254" s="180" t="s">
        <v>289</v>
      </c>
      <c r="B254" s="163"/>
      <c r="C254" s="22"/>
      <c r="D254" s="48"/>
      <c r="F254" s="6"/>
      <c r="G254" s="2"/>
    </row>
    <row r="255" spans="1:7" x14ac:dyDescent="0.3">
      <c r="A255" s="47" t="s">
        <v>284</v>
      </c>
      <c r="B255" s="163"/>
      <c r="C255" s="22"/>
      <c r="D255" s="48"/>
      <c r="F255" s="6" t="s">
        <v>319</v>
      </c>
      <c r="G255" s="2"/>
    </row>
    <row r="256" spans="1:7" x14ac:dyDescent="0.3">
      <c r="A256" s="47" t="s">
        <v>285</v>
      </c>
      <c r="B256" s="163"/>
      <c r="C256" s="22"/>
      <c r="D256" s="48"/>
      <c r="F256" s="6"/>
      <c r="G256" s="2"/>
    </row>
    <row r="257" spans="1:7" x14ac:dyDescent="0.3">
      <c r="A257" s="47" t="s">
        <v>286</v>
      </c>
      <c r="B257" s="163"/>
      <c r="C257" s="22"/>
      <c r="D257" s="48"/>
      <c r="F257" s="6"/>
      <c r="G257" s="2"/>
    </row>
    <row r="258" spans="1:7" x14ac:dyDescent="0.3">
      <c r="A258" s="47" t="s">
        <v>287</v>
      </c>
      <c r="B258" s="163"/>
      <c r="C258" s="22"/>
      <c r="D258" s="48"/>
      <c r="F258" s="6"/>
      <c r="G258" s="2"/>
    </row>
    <row r="259" spans="1:7" x14ac:dyDescent="0.3">
      <c r="A259" s="47" t="s">
        <v>288</v>
      </c>
      <c r="B259" s="163"/>
      <c r="C259" s="22"/>
      <c r="D259" s="48"/>
      <c r="F259" s="6"/>
      <c r="G259" s="2"/>
    </row>
    <row r="260" spans="1:7" x14ac:dyDescent="0.3">
      <c r="A260" s="657" t="s">
        <v>290</v>
      </c>
      <c r="B260" s="658"/>
      <c r="C260" s="22"/>
      <c r="D260" s="48"/>
      <c r="F260" s="6"/>
      <c r="G260" s="2"/>
    </row>
    <row r="261" spans="1:7" x14ac:dyDescent="0.3">
      <c r="A261" s="81" t="s">
        <v>291</v>
      </c>
      <c r="B261" s="178"/>
      <c r="C261" s="22"/>
      <c r="D261" s="48"/>
      <c r="E261" s="49">
        <v>45382</v>
      </c>
      <c r="F261" s="6"/>
      <c r="G261" s="2" t="s">
        <v>295</v>
      </c>
    </row>
    <row r="262" spans="1:7" x14ac:dyDescent="0.3">
      <c r="A262" s="81" t="s">
        <v>292</v>
      </c>
      <c r="B262" s="178"/>
      <c r="C262" s="22"/>
      <c r="D262" s="48"/>
      <c r="E262" s="49">
        <v>45397</v>
      </c>
      <c r="F262" s="6"/>
      <c r="G262" s="2"/>
    </row>
    <row r="263" spans="1:7" x14ac:dyDescent="0.3">
      <c r="A263" s="81" t="s">
        <v>293</v>
      </c>
      <c r="B263" s="178"/>
      <c r="C263" s="22"/>
      <c r="D263" s="48"/>
      <c r="E263" s="49">
        <v>45397</v>
      </c>
      <c r="F263" s="6"/>
      <c r="G263" s="2" t="s">
        <v>296</v>
      </c>
    </row>
    <row r="264" spans="1:7" x14ac:dyDescent="0.3">
      <c r="A264" s="81" t="s">
        <v>294</v>
      </c>
      <c r="B264" s="178"/>
      <c r="C264" s="22"/>
      <c r="D264" s="48"/>
      <c r="E264" s="49">
        <v>45412</v>
      </c>
      <c r="F264" s="6"/>
      <c r="G264" s="2"/>
    </row>
    <row r="265" spans="1:7" x14ac:dyDescent="0.3">
      <c r="B265" s="178"/>
      <c r="C265" s="22"/>
      <c r="D265" s="48"/>
      <c r="F265" s="6"/>
      <c r="G265" s="2"/>
    </row>
    <row r="266" spans="1:7" x14ac:dyDescent="0.3">
      <c r="A266" s="652" t="s">
        <v>297</v>
      </c>
      <c r="B266" s="653"/>
      <c r="C266" s="22"/>
      <c r="D266" s="48"/>
      <c r="E266" s="181">
        <v>45393</v>
      </c>
      <c r="F266" s="8"/>
      <c r="G266" s="2"/>
    </row>
    <row r="267" spans="1:7" x14ac:dyDescent="0.3">
      <c r="A267" s="652" t="s">
        <v>298</v>
      </c>
      <c r="B267" s="653"/>
      <c r="C267" s="22"/>
      <c r="D267" s="48"/>
      <c r="E267" s="181">
        <v>45394</v>
      </c>
      <c r="F267" s="8"/>
      <c r="G267" s="2"/>
    </row>
    <row r="268" spans="1:7" x14ac:dyDescent="0.3">
      <c r="A268" s="652" t="s">
        <v>299</v>
      </c>
      <c r="B268" s="653"/>
      <c r="C268" s="22"/>
      <c r="D268" s="48"/>
      <c r="E268" s="176" t="s">
        <v>301</v>
      </c>
      <c r="F268" s="8"/>
      <c r="G268" s="2"/>
    </row>
    <row r="269" spans="1:7" x14ac:dyDescent="0.3">
      <c r="A269" s="177" t="s">
        <v>300</v>
      </c>
      <c r="B269" s="178"/>
      <c r="C269" s="22"/>
      <c r="D269" s="48"/>
      <c r="E269" s="176" t="s">
        <v>301</v>
      </c>
      <c r="F269" s="8"/>
      <c r="G269" s="2"/>
    </row>
    <row r="270" spans="1:7" x14ac:dyDescent="0.3">
      <c r="A270" s="177"/>
      <c r="B270" s="178"/>
      <c r="C270" s="22"/>
      <c r="D270" s="48"/>
      <c r="F270" s="6"/>
      <c r="G270" s="2"/>
    </row>
    <row r="271" spans="1:7" x14ac:dyDescent="0.3">
      <c r="A271" s="182" t="s">
        <v>316</v>
      </c>
      <c r="B271" s="178"/>
      <c r="C271" s="22"/>
      <c r="D271" s="48"/>
      <c r="F271" s="6"/>
      <c r="G271" s="2"/>
    </row>
    <row r="272" spans="1:7" ht="30" customHeight="1" x14ac:dyDescent="0.3">
      <c r="A272" s="577" t="s">
        <v>302</v>
      </c>
      <c r="B272" s="579"/>
      <c r="C272" s="22"/>
      <c r="D272" s="48"/>
      <c r="E272" t="s">
        <v>318</v>
      </c>
      <c r="F272" s="179"/>
      <c r="G272" s="138" t="s">
        <v>303</v>
      </c>
    </row>
    <row r="273" spans="1:7" ht="28.8" customHeight="1" x14ac:dyDescent="0.3">
      <c r="A273" s="652" t="s">
        <v>304</v>
      </c>
      <c r="B273" s="653"/>
      <c r="C273" s="22"/>
      <c r="D273" s="48"/>
      <c r="E273" t="s">
        <v>318</v>
      </c>
      <c r="F273" s="179"/>
      <c r="G273" s="138" t="s">
        <v>305</v>
      </c>
    </row>
    <row r="274" spans="1:7" ht="14.4" customHeight="1" x14ac:dyDescent="0.3">
      <c r="A274" s="177" t="s">
        <v>306</v>
      </c>
      <c r="B274" s="178"/>
      <c r="C274" s="22"/>
      <c r="D274" s="48"/>
      <c r="E274" t="s">
        <v>318</v>
      </c>
      <c r="F274" s="179"/>
      <c r="G274" s="6" t="s">
        <v>307</v>
      </c>
    </row>
    <row r="275" spans="1:7" x14ac:dyDescent="0.3">
      <c r="A275" s="47"/>
      <c r="B275" s="178"/>
      <c r="C275" s="22"/>
      <c r="D275" s="48"/>
      <c r="F275" s="6"/>
      <c r="G275" s="2"/>
    </row>
    <row r="276" spans="1:7" x14ac:dyDescent="0.3">
      <c r="A276" s="47" t="s">
        <v>308</v>
      </c>
      <c r="B276" s="178"/>
      <c r="C276" s="22"/>
      <c r="D276" s="48"/>
      <c r="F276" s="6"/>
      <c r="G276" s="2" t="s">
        <v>42</v>
      </c>
    </row>
    <row r="277" spans="1:7" ht="15" thickBot="1" x14ac:dyDescent="0.35">
      <c r="A277" s="1"/>
      <c r="B277" s="178"/>
      <c r="C277" s="22"/>
      <c r="D277" s="48"/>
      <c r="F277" s="6"/>
      <c r="G277" s="2"/>
    </row>
    <row r="278" spans="1:7" x14ac:dyDescent="0.3">
      <c r="A278" s="65" t="s">
        <v>9</v>
      </c>
      <c r="B278" s="164"/>
      <c r="C278" s="61" t="s">
        <v>212</v>
      </c>
      <c r="D278" s="66"/>
      <c r="E278" s="66"/>
      <c r="F278" s="67"/>
      <c r="G278" s="68"/>
    </row>
    <row r="279" spans="1:7" x14ac:dyDescent="0.3">
      <c r="A279" s="1"/>
      <c r="C279" s="22"/>
      <c r="F279" s="6"/>
      <c r="G279" s="2"/>
    </row>
    <row r="280" spans="1:7" x14ac:dyDescent="0.3">
      <c r="A280" s="1"/>
      <c r="C280" s="22"/>
      <c r="F280" s="6"/>
      <c r="G280" s="2"/>
    </row>
    <row r="281" spans="1:7" x14ac:dyDescent="0.3">
      <c r="A281" s="1"/>
      <c r="C281" s="22"/>
      <c r="F281" s="6"/>
      <c r="G281" s="2"/>
    </row>
    <row r="282" spans="1:7" x14ac:dyDescent="0.3">
      <c r="A282" s="1"/>
      <c r="C282" s="22"/>
      <c r="F282" s="6"/>
      <c r="G282" s="2"/>
    </row>
    <row r="283" spans="1:7" ht="15" thickBot="1" x14ac:dyDescent="0.35">
      <c r="A283" s="3"/>
      <c r="B283" s="4"/>
      <c r="C283" s="23"/>
      <c r="D283" s="4"/>
      <c r="E283" s="4"/>
      <c r="F283" s="7"/>
      <c r="G283" s="5"/>
    </row>
    <row r="289" spans="1:8" ht="28.8" x14ac:dyDescent="0.3">
      <c r="A289" s="596" t="s">
        <v>7</v>
      </c>
      <c r="B289" s="596"/>
      <c r="C289" s="596"/>
      <c r="D289" s="596"/>
      <c r="E289" s="596"/>
      <c r="F289" s="596"/>
      <c r="G289" s="596"/>
    </row>
    <row r="290" spans="1:8" ht="28.8" x14ac:dyDescent="0.3">
      <c r="A290" s="150"/>
      <c r="B290" s="150"/>
      <c r="C290" s="150"/>
      <c r="D290" s="150"/>
      <c r="E290" s="150"/>
      <c r="F290" s="150"/>
      <c r="G290" s="150"/>
    </row>
    <row r="291" spans="1:8" ht="21.6" thickBot="1" x14ac:dyDescent="0.45">
      <c r="A291" s="642" t="s">
        <v>351</v>
      </c>
      <c r="B291" s="642"/>
      <c r="C291" s="642"/>
      <c r="D291" s="642"/>
      <c r="E291" s="642"/>
      <c r="F291" s="642"/>
      <c r="G291" s="642"/>
    </row>
    <row r="292" spans="1:8" ht="18.600000000000001" thickBot="1" x14ac:dyDescent="0.35">
      <c r="A292" s="20" t="s">
        <v>235</v>
      </c>
      <c r="B292" s="161" t="s">
        <v>34</v>
      </c>
      <c r="C292" s="21" t="s">
        <v>1</v>
      </c>
      <c r="D292" s="598" t="s">
        <v>4</v>
      </c>
      <c r="E292" s="599"/>
      <c r="F292" s="21" t="s">
        <v>2</v>
      </c>
      <c r="G292" s="19" t="s">
        <v>3</v>
      </c>
    </row>
    <row r="293" spans="1:8" x14ac:dyDescent="0.3">
      <c r="A293" s="60" t="s">
        <v>237</v>
      </c>
      <c r="B293" s="162"/>
      <c r="C293" s="61" t="s">
        <v>208</v>
      </c>
      <c r="D293" s="62"/>
      <c r="E293" s="62"/>
      <c r="F293" s="63"/>
      <c r="G293" s="64"/>
    </row>
    <row r="294" spans="1:8" x14ac:dyDescent="0.3">
      <c r="A294" s="13" t="s">
        <v>247</v>
      </c>
      <c r="B294" s="169" t="s">
        <v>248</v>
      </c>
      <c r="C294" s="72"/>
      <c r="D294" s="634" t="s">
        <v>258</v>
      </c>
      <c r="E294" s="635"/>
      <c r="F294" s="191"/>
      <c r="G294" s="71"/>
    </row>
    <row r="295" spans="1:8" x14ac:dyDescent="0.3">
      <c r="A295" s="175" t="s">
        <v>240</v>
      </c>
      <c r="B295" s="174" t="s">
        <v>234</v>
      </c>
      <c r="C295" s="69"/>
      <c r="D295" s="621" t="s">
        <v>259</v>
      </c>
      <c r="E295" s="622"/>
      <c r="F295" s="70"/>
      <c r="G295" s="192"/>
    </row>
    <row r="296" spans="1:8" x14ac:dyDescent="0.3">
      <c r="A296" s="175" t="s">
        <v>228</v>
      </c>
      <c r="B296" s="174" t="e">
        <f>#REF!</f>
        <v>#REF!</v>
      </c>
      <c r="C296" s="69"/>
      <c r="D296" s="197"/>
      <c r="E296" s="198"/>
      <c r="F296" s="70"/>
      <c r="G296" s="192"/>
    </row>
    <row r="297" spans="1:8" ht="14.4" customHeight="1" x14ac:dyDescent="0.3">
      <c r="A297" s="1" t="s">
        <v>241</v>
      </c>
      <c r="B297" t="s">
        <v>249</v>
      </c>
      <c r="C297" s="6"/>
      <c r="D297" s="612" t="s">
        <v>262</v>
      </c>
      <c r="E297" s="613"/>
      <c r="F297" s="6"/>
      <c r="G297" s="650" t="s">
        <v>336</v>
      </c>
    </row>
    <row r="298" spans="1:8" x14ac:dyDescent="0.3">
      <c r="A298" s="186" t="s">
        <v>323</v>
      </c>
      <c r="B298" s="81" t="s">
        <v>250</v>
      </c>
      <c r="C298" s="22"/>
      <c r="D298" s="612" t="s">
        <v>325</v>
      </c>
      <c r="E298" s="613"/>
      <c r="F298" s="46"/>
      <c r="G298" s="650"/>
    </row>
    <row r="299" spans="1:8" x14ac:dyDescent="0.3">
      <c r="A299" s="1" t="s">
        <v>335</v>
      </c>
      <c r="B299" t="s">
        <v>337</v>
      </c>
      <c r="C299" s="6"/>
      <c r="D299" s="183"/>
      <c r="E299" s="184"/>
      <c r="F299" s="6"/>
      <c r="G299" s="650"/>
    </row>
    <row r="300" spans="1:8" x14ac:dyDescent="0.3">
      <c r="A300" s="1" t="s">
        <v>242</v>
      </c>
      <c r="B300" t="s">
        <v>324</v>
      </c>
      <c r="C300" s="6"/>
      <c r="D300" s="612" t="s">
        <v>261</v>
      </c>
      <c r="E300" s="613"/>
      <c r="F300" s="6"/>
      <c r="G300" s="650"/>
      <c r="H300" s="29"/>
    </row>
    <row r="301" spans="1:8" x14ac:dyDescent="0.3">
      <c r="A301" s="13" t="s">
        <v>320</v>
      </c>
      <c r="B301" s="169" t="s">
        <v>338</v>
      </c>
      <c r="C301" s="193"/>
      <c r="D301" s="634" t="s">
        <v>322</v>
      </c>
      <c r="E301" s="635"/>
      <c r="F301" s="191"/>
      <c r="G301" s="651"/>
    </row>
    <row r="302" spans="1:8" x14ac:dyDescent="0.3">
      <c r="A302" s="175" t="s">
        <v>263</v>
      </c>
      <c r="B302" s="174" t="s">
        <v>264</v>
      </c>
      <c r="C302" s="194"/>
      <c r="D302" s="195" t="s">
        <v>326</v>
      </c>
      <c r="E302" s="174"/>
      <c r="F302" s="69"/>
      <c r="G302" s="192"/>
    </row>
    <row r="303" spans="1:8" x14ac:dyDescent="0.3">
      <c r="A303" s="175" t="s">
        <v>243</v>
      </c>
      <c r="B303" s="174" t="s">
        <v>251</v>
      </c>
      <c r="C303" s="69"/>
      <c r="D303" s="621" t="s">
        <v>262</v>
      </c>
      <c r="E303" s="622"/>
      <c r="F303" s="69"/>
      <c r="G303" s="192"/>
    </row>
    <row r="304" spans="1:8" ht="15" thickBot="1" x14ac:dyDescent="0.35">
      <c r="A304" s="175" t="s">
        <v>332</v>
      </c>
      <c r="B304" s="174" t="s">
        <v>350</v>
      </c>
      <c r="C304" s="194" t="s">
        <v>334</v>
      </c>
      <c r="D304" s="196" t="s">
        <v>333</v>
      </c>
      <c r="E304" s="196"/>
      <c r="F304" s="70">
        <v>45406</v>
      </c>
      <c r="G304" s="192"/>
    </row>
    <row r="305" spans="1:7" ht="15.6" x14ac:dyDescent="0.3">
      <c r="A305" s="1" t="s">
        <v>348</v>
      </c>
      <c r="B305" s="199" t="s">
        <v>267</v>
      </c>
      <c r="C305" s="22"/>
      <c r="D305" s="185"/>
      <c r="E305" s="185"/>
      <c r="F305" s="46"/>
      <c r="G305" s="2"/>
    </row>
    <row r="306" spans="1:7" ht="15" thickBot="1" x14ac:dyDescent="0.35">
      <c r="A306" s="47"/>
      <c r="B306" s="163"/>
      <c r="C306" s="22"/>
      <c r="D306" s="48"/>
      <c r="F306" s="46"/>
      <c r="G306" s="2"/>
    </row>
    <row r="307" spans="1:7" x14ac:dyDescent="0.3">
      <c r="A307" s="60" t="s">
        <v>238</v>
      </c>
      <c r="B307" s="162"/>
      <c r="C307" s="61" t="s">
        <v>211</v>
      </c>
      <c r="D307" s="62"/>
      <c r="E307" s="62"/>
      <c r="F307" s="63"/>
      <c r="G307" s="64"/>
    </row>
    <row r="308" spans="1:7" ht="32.4" customHeight="1" x14ac:dyDescent="0.3">
      <c r="A308" s="47" t="s">
        <v>244</v>
      </c>
      <c r="B308" s="163" t="s">
        <v>252</v>
      </c>
      <c r="C308" s="22"/>
      <c r="D308" s="655" t="s">
        <v>254</v>
      </c>
      <c r="E308" s="656"/>
      <c r="F308" s="46" t="s">
        <v>257</v>
      </c>
      <c r="G308" s="2" t="s">
        <v>331</v>
      </c>
    </row>
    <row r="309" spans="1:7" ht="28.8" customHeight="1" x14ac:dyDescent="0.3">
      <c r="A309" s="47" t="s">
        <v>245</v>
      </c>
      <c r="B309" s="163" t="s">
        <v>253</v>
      </c>
      <c r="C309" s="22"/>
      <c r="D309" s="655" t="s">
        <v>256</v>
      </c>
      <c r="E309" s="656"/>
      <c r="F309" s="6" t="s">
        <v>255</v>
      </c>
      <c r="G309" s="2" t="s">
        <v>330</v>
      </c>
    </row>
    <row r="310" spans="1:7" ht="15" customHeight="1" x14ac:dyDescent="0.3">
      <c r="A310" s="1" t="s">
        <v>346</v>
      </c>
      <c r="B310" t="s">
        <v>234</v>
      </c>
      <c r="C310" s="22"/>
      <c r="D310" s="2" t="s">
        <v>340</v>
      </c>
      <c r="F310" s="6"/>
      <c r="G310" s="2" t="s">
        <v>347</v>
      </c>
    </row>
    <row r="311" spans="1:7" x14ac:dyDescent="0.3">
      <c r="A311" s="47" t="s">
        <v>263</v>
      </c>
      <c r="B311" t="s">
        <v>264</v>
      </c>
      <c r="C311" s="22"/>
      <c r="D311" s="48" t="s">
        <v>311</v>
      </c>
      <c r="F311" s="6" t="s">
        <v>312</v>
      </c>
      <c r="G311" s="2" t="s">
        <v>329</v>
      </c>
    </row>
    <row r="312" spans="1:7" ht="14.4" customHeight="1" x14ac:dyDescent="0.3">
      <c r="A312" s="186" t="s">
        <v>323</v>
      </c>
      <c r="B312" s="81" t="s">
        <v>324</v>
      </c>
      <c r="C312" s="22"/>
      <c r="D312" s="612" t="s">
        <v>327</v>
      </c>
      <c r="E312" s="613"/>
      <c r="F312" s="6" t="s">
        <v>328</v>
      </c>
      <c r="G312" s="2" t="s">
        <v>42</v>
      </c>
    </row>
    <row r="313" spans="1:7" ht="14.4" customHeight="1" x14ac:dyDescent="0.3">
      <c r="A313" s="186" t="s">
        <v>341</v>
      </c>
      <c r="B313" s="81" t="s">
        <v>343</v>
      </c>
      <c r="C313" s="22"/>
      <c r="D313" s="612" t="s">
        <v>342</v>
      </c>
      <c r="E313" s="613"/>
      <c r="F313" s="6" t="s">
        <v>344</v>
      </c>
      <c r="G313" s="2"/>
    </row>
    <row r="314" spans="1:7" ht="14.4" customHeight="1" x14ac:dyDescent="0.3">
      <c r="A314" s="186" t="s">
        <v>345</v>
      </c>
      <c r="B314" s="81"/>
      <c r="C314" s="22"/>
      <c r="D314" s="185"/>
      <c r="E314" s="185"/>
      <c r="F314" s="6"/>
      <c r="G314" s="2" t="s">
        <v>347</v>
      </c>
    </row>
    <row r="315" spans="1:7" x14ac:dyDescent="0.3">
      <c r="A315" s="47" t="s">
        <v>246</v>
      </c>
      <c r="B315" s="163"/>
      <c r="C315" s="22"/>
      <c r="D315" s="48"/>
      <c r="F315" s="6" t="s">
        <v>328</v>
      </c>
      <c r="G315" s="187" t="s">
        <v>42</v>
      </c>
    </row>
    <row r="316" spans="1:7" x14ac:dyDescent="0.3">
      <c r="A316" s="47"/>
      <c r="B316" s="163"/>
      <c r="C316" s="22"/>
      <c r="D316" s="48"/>
      <c r="F316" s="6"/>
      <c r="G316" s="2"/>
    </row>
    <row r="317" spans="1:7" ht="15" thickBot="1" x14ac:dyDescent="0.35">
      <c r="A317" s="188"/>
      <c r="B317" s="189"/>
      <c r="C317" s="23"/>
      <c r="D317" s="190"/>
      <c r="E317" s="4"/>
      <c r="F317" s="7"/>
      <c r="G317" s="5"/>
    </row>
    <row r="318" spans="1:7" x14ac:dyDescent="0.3">
      <c r="A318" s="60" t="s">
        <v>236</v>
      </c>
      <c r="B318" s="162"/>
      <c r="C318" s="61" t="s">
        <v>239</v>
      </c>
      <c r="D318" s="62"/>
      <c r="E318" s="62"/>
      <c r="F318" s="63"/>
      <c r="G318" s="64"/>
    </row>
    <row r="319" spans="1:7" x14ac:dyDescent="0.3">
      <c r="A319" t="s">
        <v>309</v>
      </c>
      <c r="B319" s="163"/>
      <c r="C319" s="22"/>
      <c r="D319" s="48" t="s">
        <v>269</v>
      </c>
      <c r="E319" t="s">
        <v>272</v>
      </c>
      <c r="F319" s="46"/>
      <c r="G319" s="2" t="s">
        <v>310</v>
      </c>
    </row>
    <row r="320" spans="1:7" x14ac:dyDescent="0.3">
      <c r="A320" s="47" t="s">
        <v>270</v>
      </c>
      <c r="B320" s="163"/>
      <c r="C320" s="22"/>
      <c r="D320" s="48" t="s">
        <v>271</v>
      </c>
      <c r="E320" t="s">
        <v>273</v>
      </c>
      <c r="F320" s="6" t="s">
        <v>274</v>
      </c>
      <c r="G320" s="2" t="s">
        <v>314</v>
      </c>
    </row>
    <row r="321" spans="1:7" x14ac:dyDescent="0.3">
      <c r="A321" s="47" t="s">
        <v>276</v>
      </c>
      <c r="B321" s="163"/>
      <c r="C321" s="22"/>
      <c r="D321" s="48"/>
      <c r="E321" t="s">
        <v>275</v>
      </c>
      <c r="F321" s="6" t="s">
        <v>274</v>
      </c>
      <c r="G321" s="2" t="s">
        <v>315</v>
      </c>
    </row>
    <row r="322" spans="1:7" x14ac:dyDescent="0.3">
      <c r="A322" s="47" t="s">
        <v>277</v>
      </c>
      <c r="B322" s="163"/>
      <c r="C322" s="22"/>
      <c r="D322" s="48" t="s">
        <v>278</v>
      </c>
      <c r="F322" s="6" t="s">
        <v>274</v>
      </c>
      <c r="G322" s="2" t="s">
        <v>279</v>
      </c>
    </row>
    <row r="323" spans="1:7" x14ac:dyDescent="0.3">
      <c r="A323" s="47" t="s">
        <v>280</v>
      </c>
      <c r="B323" s="163"/>
      <c r="C323" s="22"/>
      <c r="D323" s="48" t="s">
        <v>281</v>
      </c>
      <c r="E323" t="s">
        <v>282</v>
      </c>
      <c r="F323" s="6"/>
      <c r="G323" s="2" t="s">
        <v>283</v>
      </c>
    </row>
    <row r="324" spans="1:7" x14ac:dyDescent="0.3">
      <c r="A324" s="47"/>
      <c r="B324" s="163"/>
      <c r="C324" s="22"/>
      <c r="D324" s="48"/>
      <c r="F324" s="6"/>
      <c r="G324" s="2"/>
    </row>
    <row r="325" spans="1:7" x14ac:dyDescent="0.3">
      <c r="A325" s="180" t="s">
        <v>289</v>
      </c>
      <c r="B325" s="163"/>
      <c r="C325" s="22"/>
      <c r="D325" s="48"/>
      <c r="F325" s="6"/>
      <c r="G325" s="2"/>
    </row>
    <row r="326" spans="1:7" x14ac:dyDescent="0.3">
      <c r="A326" s="47" t="s">
        <v>284</v>
      </c>
      <c r="B326" s="163"/>
      <c r="C326" s="22"/>
      <c r="D326" s="48"/>
      <c r="F326" s="6"/>
      <c r="G326" s="2"/>
    </row>
    <row r="327" spans="1:7" x14ac:dyDescent="0.3">
      <c r="A327" s="47" t="s">
        <v>285</v>
      </c>
      <c r="B327" s="163"/>
      <c r="C327" s="22"/>
      <c r="D327" s="48"/>
      <c r="F327" s="6"/>
      <c r="G327" s="2"/>
    </row>
    <row r="328" spans="1:7" x14ac:dyDescent="0.3">
      <c r="A328" s="47" t="s">
        <v>286</v>
      </c>
      <c r="B328" s="163"/>
      <c r="C328" s="22"/>
      <c r="D328" s="48"/>
      <c r="F328" s="6"/>
      <c r="G328" s="2"/>
    </row>
    <row r="329" spans="1:7" x14ac:dyDescent="0.3">
      <c r="A329" s="47" t="s">
        <v>287</v>
      </c>
      <c r="B329" s="163"/>
      <c r="C329" s="22"/>
      <c r="D329" s="48"/>
      <c r="F329" s="6"/>
      <c r="G329" s="2"/>
    </row>
    <row r="330" spans="1:7" x14ac:dyDescent="0.3">
      <c r="A330" s="47" t="s">
        <v>288</v>
      </c>
      <c r="B330" s="163"/>
      <c r="C330" s="22"/>
      <c r="D330" s="48"/>
      <c r="F330" s="6"/>
      <c r="G330" s="2"/>
    </row>
    <row r="331" spans="1:7" x14ac:dyDescent="0.3">
      <c r="A331" s="657" t="s">
        <v>290</v>
      </c>
      <c r="B331" s="658"/>
      <c r="C331" s="22"/>
      <c r="D331" s="48"/>
      <c r="F331" s="6"/>
      <c r="G331" s="2"/>
    </row>
    <row r="332" spans="1:7" x14ac:dyDescent="0.3">
      <c r="A332" s="81" t="s">
        <v>291</v>
      </c>
      <c r="B332" s="178"/>
      <c r="C332" s="22"/>
      <c r="D332" s="48"/>
      <c r="E332" s="49">
        <v>45382</v>
      </c>
      <c r="F332" s="6"/>
      <c r="G332" s="2" t="s">
        <v>295</v>
      </c>
    </row>
    <row r="333" spans="1:7" x14ac:dyDescent="0.3">
      <c r="A333" s="81" t="s">
        <v>292</v>
      </c>
      <c r="B333" s="178"/>
      <c r="C333" s="22"/>
      <c r="D333" s="48"/>
      <c r="E333" s="49">
        <v>45397</v>
      </c>
      <c r="F333" s="6"/>
      <c r="G333" s="2"/>
    </row>
    <row r="334" spans="1:7" x14ac:dyDescent="0.3">
      <c r="A334" s="81" t="s">
        <v>293</v>
      </c>
      <c r="B334" s="178"/>
      <c r="C334" s="22"/>
      <c r="D334" s="48"/>
      <c r="E334" s="49">
        <v>45397</v>
      </c>
      <c r="F334" s="6"/>
      <c r="G334" s="2" t="s">
        <v>296</v>
      </c>
    </row>
    <row r="335" spans="1:7" x14ac:dyDescent="0.3">
      <c r="A335" s="81" t="s">
        <v>294</v>
      </c>
      <c r="B335" s="178"/>
      <c r="C335" s="22"/>
      <c r="D335" s="48"/>
      <c r="E335" s="49">
        <v>45412</v>
      </c>
      <c r="F335" s="6"/>
      <c r="G335" s="2"/>
    </row>
    <row r="336" spans="1:7" x14ac:dyDescent="0.3">
      <c r="B336" s="178"/>
      <c r="C336" s="22"/>
      <c r="D336" s="48"/>
      <c r="F336" s="6"/>
      <c r="G336" s="2"/>
    </row>
    <row r="337" spans="1:7" x14ac:dyDescent="0.3">
      <c r="A337" s="652" t="s">
        <v>297</v>
      </c>
      <c r="B337" s="653"/>
      <c r="C337" s="22"/>
      <c r="D337" s="48"/>
      <c r="E337" s="181">
        <v>45393</v>
      </c>
      <c r="F337" s="8"/>
      <c r="G337" s="2"/>
    </row>
    <row r="338" spans="1:7" x14ac:dyDescent="0.3">
      <c r="A338" s="652" t="s">
        <v>298</v>
      </c>
      <c r="B338" s="653"/>
      <c r="C338" s="22"/>
      <c r="D338" s="48"/>
      <c r="E338" s="181">
        <v>45394</v>
      </c>
      <c r="F338" s="8"/>
      <c r="G338" s="2"/>
    </row>
    <row r="339" spans="1:7" x14ac:dyDescent="0.3">
      <c r="A339" s="652" t="s">
        <v>299</v>
      </c>
      <c r="B339" s="653"/>
      <c r="C339" s="22"/>
      <c r="D339" s="48"/>
      <c r="E339" s="176" t="s">
        <v>301</v>
      </c>
      <c r="F339" s="8"/>
      <c r="G339" s="2"/>
    </row>
    <row r="340" spans="1:7" x14ac:dyDescent="0.3">
      <c r="A340" s="177" t="s">
        <v>300</v>
      </c>
      <c r="B340" s="178"/>
      <c r="C340" s="22"/>
      <c r="D340" s="48"/>
      <c r="E340" s="176" t="s">
        <v>301</v>
      </c>
      <c r="F340" s="8"/>
      <c r="G340" s="2"/>
    </row>
    <row r="341" spans="1:7" x14ac:dyDescent="0.3">
      <c r="A341" s="177"/>
      <c r="B341" s="178"/>
      <c r="C341" s="22"/>
      <c r="D341" s="48"/>
      <c r="F341" s="6"/>
      <c r="G341" s="2"/>
    </row>
    <row r="342" spans="1:7" x14ac:dyDescent="0.3">
      <c r="A342" s="182" t="s">
        <v>316</v>
      </c>
      <c r="B342" s="178"/>
      <c r="C342" s="22"/>
      <c r="D342" s="48"/>
      <c r="F342" s="6"/>
      <c r="G342" s="2"/>
    </row>
    <row r="343" spans="1:7" ht="30" customHeight="1" x14ac:dyDescent="0.3">
      <c r="A343" s="577" t="s">
        <v>302</v>
      </c>
      <c r="B343" s="579"/>
      <c r="C343" s="22"/>
      <c r="D343" s="48"/>
      <c r="E343" t="s">
        <v>318</v>
      </c>
      <c r="F343" s="179"/>
      <c r="G343" s="138" t="s">
        <v>303</v>
      </c>
    </row>
    <row r="344" spans="1:7" ht="28.8" customHeight="1" x14ac:dyDescent="0.3">
      <c r="A344" s="652" t="s">
        <v>304</v>
      </c>
      <c r="B344" s="653"/>
      <c r="C344" s="22"/>
      <c r="D344" s="48"/>
      <c r="E344" t="s">
        <v>318</v>
      </c>
      <c r="F344" s="179"/>
      <c r="G344" s="138" t="s">
        <v>305</v>
      </c>
    </row>
    <row r="345" spans="1:7" ht="14.4" customHeight="1" x14ac:dyDescent="0.3">
      <c r="A345" s="177" t="s">
        <v>306</v>
      </c>
      <c r="B345" s="178"/>
      <c r="C345" s="22"/>
      <c r="D345" s="48"/>
      <c r="E345" t="s">
        <v>318</v>
      </c>
      <c r="F345" s="179"/>
      <c r="G345" s="6" t="s">
        <v>307</v>
      </c>
    </row>
    <row r="346" spans="1:7" x14ac:dyDescent="0.3">
      <c r="A346" s="47"/>
      <c r="B346" s="178"/>
      <c r="C346" s="22"/>
      <c r="D346" s="48"/>
      <c r="F346" s="6"/>
      <c r="G346" s="2"/>
    </row>
    <row r="347" spans="1:7" x14ac:dyDescent="0.3">
      <c r="A347" s="47" t="s">
        <v>308</v>
      </c>
      <c r="B347" s="178"/>
      <c r="C347" s="22"/>
      <c r="D347" s="48"/>
      <c r="F347" s="6"/>
      <c r="G347" s="2" t="s">
        <v>42</v>
      </c>
    </row>
    <row r="348" spans="1:7" ht="15" thickBot="1" x14ac:dyDescent="0.35">
      <c r="A348" s="1"/>
      <c r="B348" s="178"/>
      <c r="C348" s="22"/>
      <c r="D348" s="48"/>
      <c r="F348" s="6"/>
      <c r="G348" s="2"/>
    </row>
    <row r="349" spans="1:7" x14ac:dyDescent="0.3">
      <c r="A349" s="65" t="s">
        <v>9</v>
      </c>
      <c r="B349" s="164"/>
      <c r="C349" s="61" t="s">
        <v>212</v>
      </c>
      <c r="D349" s="66"/>
      <c r="E349" s="66"/>
      <c r="F349" s="67"/>
      <c r="G349" s="68"/>
    </row>
    <row r="350" spans="1:7" x14ac:dyDescent="0.3">
      <c r="A350" s="1"/>
      <c r="C350" s="22"/>
      <c r="F350" s="6"/>
      <c r="G350" s="2"/>
    </row>
    <row r="351" spans="1:7" x14ac:dyDescent="0.3">
      <c r="A351" s="1"/>
      <c r="C351" s="22"/>
      <c r="F351" s="6"/>
      <c r="G351" s="2"/>
    </row>
    <row r="352" spans="1:7" x14ac:dyDescent="0.3">
      <c r="A352" s="1"/>
      <c r="C352" s="22"/>
      <c r="F352" s="6"/>
      <c r="G352" s="2"/>
    </row>
    <row r="353" spans="1:7" x14ac:dyDescent="0.3">
      <c r="A353" s="1"/>
      <c r="C353" s="22"/>
      <c r="F353" s="6"/>
      <c r="G353" s="2"/>
    </row>
    <row r="354" spans="1:7" ht="15" thickBot="1" x14ac:dyDescent="0.35">
      <c r="A354" s="3"/>
      <c r="B354" s="4"/>
      <c r="C354" s="23"/>
      <c r="D354" s="4"/>
      <c r="E354" s="4"/>
      <c r="F354" s="7"/>
      <c r="G354" s="5"/>
    </row>
    <row r="356" spans="1:7" x14ac:dyDescent="0.3">
      <c r="A356" s="1"/>
      <c r="C356" s="22"/>
      <c r="F356" s="46"/>
      <c r="G356" s="2"/>
    </row>
    <row r="357" spans="1:7" x14ac:dyDescent="0.3">
      <c r="A357" s="1"/>
      <c r="C357" s="22"/>
      <c r="F357" s="46"/>
      <c r="G357" s="2"/>
    </row>
    <row r="358" spans="1:7" x14ac:dyDescent="0.3">
      <c r="A358" s="1"/>
      <c r="C358" s="22"/>
      <c r="F358" s="46"/>
      <c r="G358" s="2"/>
    </row>
    <row r="359" spans="1:7" x14ac:dyDescent="0.3">
      <c r="A359" s="1"/>
      <c r="C359" s="22"/>
      <c r="F359" s="46"/>
      <c r="G359" s="2"/>
    </row>
    <row r="360" spans="1:7" x14ac:dyDescent="0.3">
      <c r="A360" s="1"/>
      <c r="C360" s="22"/>
      <c r="F360" s="46"/>
      <c r="G360" s="2"/>
    </row>
    <row r="361" spans="1:7" ht="17.399999999999999" customHeight="1" x14ac:dyDescent="0.3">
      <c r="A361" s="1"/>
      <c r="C361" s="22"/>
      <c r="F361" s="46"/>
      <c r="G361" s="2"/>
    </row>
    <row r="362" spans="1:7" ht="16.8" customHeight="1" x14ac:dyDescent="0.3">
      <c r="A362" s="47"/>
      <c r="B362" s="163"/>
      <c r="C362" s="22"/>
      <c r="D362" s="48"/>
      <c r="F362" s="46"/>
      <c r="G362" s="2"/>
    </row>
    <row r="363" spans="1:7" x14ac:dyDescent="0.3">
      <c r="A363" s="47"/>
      <c r="B363" s="163"/>
      <c r="C363" s="22"/>
      <c r="D363" s="48"/>
      <c r="F363" s="46"/>
      <c r="G363" s="2"/>
    </row>
    <row r="364" spans="1:7" ht="15" thickBot="1" x14ac:dyDescent="0.35">
      <c r="A364" s="47"/>
      <c r="B364" s="163"/>
      <c r="C364" s="22"/>
      <c r="D364" s="48"/>
      <c r="F364" s="46"/>
      <c r="G364" s="2"/>
    </row>
    <row r="365" spans="1:7" x14ac:dyDescent="0.3">
      <c r="A365" s="60" t="s">
        <v>210</v>
      </c>
      <c r="B365" s="162"/>
      <c r="C365" s="61" t="s">
        <v>211</v>
      </c>
      <c r="D365" s="62"/>
      <c r="E365" s="62"/>
      <c r="F365" s="63"/>
      <c r="G365" s="64"/>
    </row>
    <row r="366" spans="1:7" x14ac:dyDescent="0.3">
      <c r="A366" s="47"/>
      <c r="B366" s="163"/>
      <c r="C366" s="22"/>
      <c r="D366" s="48"/>
      <c r="F366" s="46"/>
      <c r="G366" s="2"/>
    </row>
    <row r="367" spans="1:7" x14ac:dyDescent="0.3">
      <c r="A367" s="47"/>
      <c r="B367" s="163"/>
      <c r="C367" s="22"/>
      <c r="D367" s="48"/>
      <c r="F367" s="6"/>
      <c r="G367" s="2"/>
    </row>
    <row r="368" spans="1:7" x14ac:dyDescent="0.3">
      <c r="A368" s="47"/>
      <c r="B368" s="163"/>
      <c r="C368" s="22"/>
      <c r="D368" s="48"/>
      <c r="F368" s="6"/>
      <c r="G368" s="2"/>
    </row>
    <row r="369" spans="1:7" x14ac:dyDescent="0.3">
      <c r="A369" s="47"/>
      <c r="B369" s="163"/>
      <c r="C369" s="22"/>
      <c r="D369" s="48"/>
      <c r="F369" s="6"/>
      <c r="G369" s="2"/>
    </row>
    <row r="370" spans="1:7" x14ac:dyDescent="0.3">
      <c r="A370" s="47"/>
      <c r="B370" s="163"/>
      <c r="C370" s="22"/>
      <c r="D370" s="48"/>
      <c r="F370" s="6"/>
      <c r="G370" s="2"/>
    </row>
    <row r="371" spans="1:7" x14ac:dyDescent="0.3">
      <c r="A371" s="47"/>
      <c r="B371" s="163"/>
      <c r="C371" s="22"/>
      <c r="D371" s="48"/>
      <c r="F371" s="6"/>
      <c r="G371" s="2"/>
    </row>
    <row r="372" spans="1:7" x14ac:dyDescent="0.3">
      <c r="A372" s="47"/>
      <c r="B372" s="163"/>
      <c r="C372" s="22"/>
      <c r="D372" s="48"/>
      <c r="F372" s="6"/>
      <c r="G372" s="2"/>
    </row>
    <row r="373" spans="1:7" x14ac:dyDescent="0.3">
      <c r="A373" s="47"/>
      <c r="B373" s="163"/>
      <c r="C373" s="22"/>
      <c r="D373" s="48"/>
      <c r="F373" s="6"/>
      <c r="G373" s="2"/>
    </row>
    <row r="374" spans="1:7" x14ac:dyDescent="0.3">
      <c r="A374" s="1"/>
      <c r="C374" s="22"/>
      <c r="F374" s="6"/>
      <c r="G374" s="2"/>
    </row>
    <row r="375" spans="1:7" ht="15" thickBot="1" x14ac:dyDescent="0.35">
      <c r="A375" s="3"/>
      <c r="B375" s="4"/>
      <c r="C375" s="23"/>
      <c r="D375" s="4"/>
      <c r="E375" s="4"/>
      <c r="F375" s="7"/>
      <c r="G375" s="5"/>
    </row>
    <row r="376" spans="1:7" x14ac:dyDescent="0.3">
      <c r="A376" s="65" t="s">
        <v>9</v>
      </c>
      <c r="B376" s="164"/>
      <c r="C376" s="61" t="s">
        <v>212</v>
      </c>
      <c r="D376" s="66"/>
      <c r="E376" s="66"/>
      <c r="F376" s="67"/>
      <c r="G376" s="68"/>
    </row>
    <row r="377" spans="1:7" x14ac:dyDescent="0.3">
      <c r="A377" s="1"/>
      <c r="C377" s="22"/>
      <c r="F377" s="6"/>
      <c r="G377" s="2"/>
    </row>
    <row r="378" spans="1:7" x14ac:dyDescent="0.3">
      <c r="A378" s="1"/>
      <c r="C378" s="22"/>
      <c r="F378" s="6"/>
      <c r="G378" s="2"/>
    </row>
    <row r="379" spans="1:7" x14ac:dyDescent="0.3">
      <c r="A379" s="1"/>
      <c r="C379" s="22"/>
      <c r="F379" s="6"/>
      <c r="G379" s="2"/>
    </row>
    <row r="380" spans="1:7" x14ac:dyDescent="0.3">
      <c r="A380" s="1"/>
      <c r="C380" s="22"/>
      <c r="F380" s="6"/>
      <c r="G380" s="2"/>
    </row>
    <row r="381" spans="1:7" ht="15" thickBot="1" x14ac:dyDescent="0.35">
      <c r="A381" s="3"/>
      <c r="B381" s="4"/>
      <c r="C381" s="23"/>
      <c r="D381" s="4"/>
      <c r="E381" s="4"/>
      <c r="F381" s="7"/>
      <c r="G381" s="5"/>
    </row>
    <row r="385" spans="1:7" ht="28.8" x14ac:dyDescent="0.3">
      <c r="A385" s="596" t="s">
        <v>7</v>
      </c>
      <c r="B385" s="596"/>
      <c r="C385" s="596"/>
      <c r="D385" s="596"/>
      <c r="E385" s="596"/>
      <c r="F385" s="596"/>
      <c r="G385" s="596"/>
    </row>
    <row r="386" spans="1:7" ht="28.8" x14ac:dyDescent="0.3">
      <c r="A386" s="150"/>
      <c r="B386" s="150"/>
      <c r="C386" s="150"/>
      <c r="D386" s="150"/>
      <c r="E386" s="150"/>
      <c r="F386" s="150"/>
      <c r="G386" s="150"/>
    </row>
    <row r="387" spans="1:7" ht="21.6" thickBot="1" x14ac:dyDescent="0.45">
      <c r="A387" s="642" t="s">
        <v>216</v>
      </c>
      <c r="B387" s="642"/>
      <c r="C387" s="642"/>
      <c r="D387" s="642"/>
      <c r="E387" s="642"/>
      <c r="F387" s="642"/>
      <c r="G387" s="642"/>
    </row>
    <row r="388" spans="1:7" ht="18.600000000000001" thickBot="1" x14ac:dyDescent="0.35">
      <c r="A388" s="20" t="s">
        <v>0</v>
      </c>
      <c r="B388" s="161"/>
      <c r="C388" s="21" t="s">
        <v>1</v>
      </c>
      <c r="D388" s="598" t="s">
        <v>4</v>
      </c>
      <c r="E388" s="599"/>
      <c r="F388" s="21" t="s">
        <v>2</v>
      </c>
      <c r="G388" s="19" t="s">
        <v>3</v>
      </c>
    </row>
    <row r="389" spans="1:7" x14ac:dyDescent="0.3">
      <c r="A389" s="60" t="s">
        <v>5</v>
      </c>
      <c r="B389" s="162"/>
      <c r="C389" s="61" t="s">
        <v>6</v>
      </c>
      <c r="D389" s="62"/>
      <c r="E389" s="62"/>
      <c r="F389" s="63"/>
      <c r="G389" s="64"/>
    </row>
    <row r="390" spans="1:7" x14ac:dyDescent="0.3">
      <c r="A390" s="50"/>
      <c r="B390" s="51"/>
      <c r="C390" s="54"/>
      <c r="D390" s="51"/>
      <c r="E390" s="51"/>
      <c r="F390" s="52"/>
      <c r="G390" s="53"/>
    </row>
    <row r="391" spans="1:7" x14ac:dyDescent="0.3">
      <c r="A391" s="1"/>
      <c r="C391" s="22"/>
      <c r="D391" s="49"/>
      <c r="F391" s="46"/>
      <c r="G391" s="2"/>
    </row>
    <row r="392" spans="1:7" x14ac:dyDescent="0.3">
      <c r="A392" s="1"/>
      <c r="C392" s="22"/>
      <c r="D392" s="49"/>
      <c r="F392" s="46"/>
      <c r="G392" s="2"/>
    </row>
    <row r="393" spans="1:7" x14ac:dyDescent="0.3">
      <c r="A393" s="1"/>
      <c r="C393" s="22"/>
      <c r="D393" s="49"/>
      <c r="F393" s="6"/>
      <c r="G393" s="2"/>
    </row>
    <row r="394" spans="1:7" x14ac:dyDescent="0.3">
      <c r="A394" s="1"/>
      <c r="C394" s="22"/>
      <c r="D394" s="49"/>
      <c r="F394" s="6"/>
      <c r="G394" s="2"/>
    </row>
    <row r="395" spans="1:7" x14ac:dyDescent="0.3">
      <c r="A395" s="1"/>
      <c r="C395" s="22"/>
      <c r="D395" s="49"/>
      <c r="F395" s="6"/>
      <c r="G395" s="2"/>
    </row>
    <row r="396" spans="1:7" x14ac:dyDescent="0.3">
      <c r="A396" s="1"/>
      <c r="C396" s="22"/>
      <c r="D396" s="49"/>
      <c r="F396" s="6"/>
      <c r="G396" s="2"/>
    </row>
    <row r="397" spans="1:7" ht="15" thickBot="1" x14ac:dyDescent="0.35">
      <c r="A397" s="3"/>
      <c r="B397" s="4"/>
      <c r="C397" s="23"/>
      <c r="D397" s="4"/>
      <c r="E397" s="4"/>
      <c r="F397" s="7"/>
      <c r="G397" s="5"/>
    </row>
    <row r="398" spans="1:7" x14ac:dyDescent="0.3">
      <c r="A398" s="60" t="s">
        <v>209</v>
      </c>
      <c r="B398" s="162"/>
      <c r="C398" s="61" t="s">
        <v>208</v>
      </c>
      <c r="D398" s="62"/>
      <c r="E398" s="62"/>
      <c r="F398" s="63"/>
      <c r="G398" s="64"/>
    </row>
    <row r="399" spans="1:7" x14ac:dyDescent="0.3">
      <c r="A399" s="50"/>
      <c r="B399" s="51"/>
      <c r="C399" s="54"/>
      <c r="D399" s="51"/>
      <c r="E399" s="51"/>
      <c r="F399" s="52"/>
      <c r="G399" s="53"/>
    </row>
    <row r="400" spans="1:7" x14ac:dyDescent="0.3">
      <c r="A400" s="1"/>
      <c r="C400" s="22"/>
      <c r="F400" s="46"/>
      <c r="G400" s="2"/>
    </row>
    <row r="401" spans="1:7" x14ac:dyDescent="0.3">
      <c r="A401" s="1"/>
      <c r="C401" s="22"/>
      <c r="F401" s="46"/>
      <c r="G401" s="2"/>
    </row>
    <row r="402" spans="1:7" x14ac:dyDescent="0.3">
      <c r="A402" s="1"/>
      <c r="C402" s="22"/>
      <c r="F402" s="46"/>
      <c r="G402" s="2"/>
    </row>
    <row r="403" spans="1:7" x14ac:dyDescent="0.3">
      <c r="A403" s="1"/>
      <c r="C403" s="22"/>
      <c r="F403" s="46"/>
      <c r="G403" s="2"/>
    </row>
    <row r="404" spans="1:7" x14ac:dyDescent="0.3">
      <c r="A404" s="1"/>
      <c r="C404" s="22"/>
      <c r="F404" s="46"/>
      <c r="G404" s="2"/>
    </row>
    <row r="405" spans="1:7" x14ac:dyDescent="0.3">
      <c r="A405" s="1"/>
      <c r="C405" s="22"/>
      <c r="F405" s="46"/>
      <c r="G405" s="2"/>
    </row>
    <row r="406" spans="1:7" ht="17.399999999999999" customHeight="1" x14ac:dyDescent="0.3">
      <c r="A406" s="1"/>
      <c r="C406" s="22"/>
      <c r="F406" s="46"/>
      <c r="G406" s="2"/>
    </row>
    <row r="407" spans="1:7" ht="16.8" customHeight="1" x14ac:dyDescent="0.3">
      <c r="A407" s="47"/>
      <c r="B407" s="163"/>
      <c r="C407" s="22"/>
      <c r="D407" s="48"/>
      <c r="F407" s="46"/>
      <c r="G407" s="2"/>
    </row>
    <row r="408" spans="1:7" x14ac:dyDescent="0.3">
      <c r="A408" s="47"/>
      <c r="B408" s="163"/>
      <c r="C408" s="22"/>
      <c r="D408" s="48"/>
      <c r="F408" s="46"/>
      <c r="G408" s="2"/>
    </row>
    <row r="409" spans="1:7" ht="15" thickBot="1" x14ac:dyDescent="0.35">
      <c r="A409" s="47"/>
      <c r="B409" s="163"/>
      <c r="C409" s="22"/>
      <c r="D409" s="48"/>
      <c r="F409" s="46"/>
      <c r="G409" s="2"/>
    </row>
    <row r="410" spans="1:7" x14ac:dyDescent="0.3">
      <c r="A410" s="60" t="s">
        <v>210</v>
      </c>
      <c r="B410" s="162"/>
      <c r="C410" s="61" t="s">
        <v>211</v>
      </c>
      <c r="D410" s="62"/>
      <c r="E410" s="62"/>
      <c r="F410" s="63"/>
      <c r="G410" s="64"/>
    </row>
    <row r="411" spans="1:7" x14ac:dyDescent="0.3">
      <c r="A411" s="47"/>
      <c r="B411" s="163"/>
      <c r="C411" s="22"/>
      <c r="D411" s="48"/>
      <c r="F411" s="46"/>
      <c r="G411" s="2"/>
    </row>
    <row r="412" spans="1:7" x14ac:dyDescent="0.3">
      <c r="A412" s="47"/>
      <c r="B412" s="163"/>
      <c r="C412" s="22"/>
      <c r="D412" s="48"/>
      <c r="F412" s="6"/>
      <c r="G412" s="2"/>
    </row>
    <row r="413" spans="1:7" x14ac:dyDescent="0.3">
      <c r="A413" s="47"/>
      <c r="B413" s="163"/>
      <c r="C413" s="22"/>
      <c r="D413" s="48"/>
      <c r="F413" s="6"/>
      <c r="G413" s="2"/>
    </row>
    <row r="414" spans="1:7" x14ac:dyDescent="0.3">
      <c r="A414" s="47"/>
      <c r="B414" s="163"/>
      <c r="C414" s="22"/>
      <c r="D414" s="48"/>
      <c r="F414" s="6"/>
      <c r="G414" s="2"/>
    </row>
    <row r="415" spans="1:7" x14ac:dyDescent="0.3">
      <c r="A415" s="47"/>
      <c r="B415" s="163"/>
      <c r="C415" s="22"/>
      <c r="D415" s="48"/>
      <c r="F415" s="6"/>
      <c r="G415" s="2"/>
    </row>
    <row r="416" spans="1:7" x14ac:dyDescent="0.3">
      <c r="A416" s="47"/>
      <c r="B416" s="163"/>
      <c r="C416" s="22"/>
      <c r="D416" s="48"/>
      <c r="F416" s="6"/>
      <c r="G416" s="2"/>
    </row>
    <row r="417" spans="1:7" x14ac:dyDescent="0.3">
      <c r="A417" s="47"/>
      <c r="B417" s="163"/>
      <c r="C417" s="22"/>
      <c r="D417" s="48"/>
      <c r="F417" s="6"/>
      <c r="G417" s="2"/>
    </row>
    <row r="418" spans="1:7" x14ac:dyDescent="0.3">
      <c r="A418" s="47"/>
      <c r="B418" s="163"/>
      <c r="C418" s="22"/>
      <c r="D418" s="48"/>
      <c r="F418" s="6"/>
      <c r="G418" s="2"/>
    </row>
    <row r="419" spans="1:7" x14ac:dyDescent="0.3">
      <c r="A419" s="1"/>
      <c r="C419" s="22"/>
      <c r="F419" s="6"/>
      <c r="G419" s="2"/>
    </row>
    <row r="420" spans="1:7" ht="15" thickBot="1" x14ac:dyDescent="0.35">
      <c r="A420" s="3"/>
      <c r="B420" s="4"/>
      <c r="C420" s="23"/>
      <c r="D420" s="4"/>
      <c r="E420" s="4"/>
      <c r="F420" s="7"/>
      <c r="G420" s="5"/>
    </row>
    <row r="421" spans="1:7" x14ac:dyDescent="0.3">
      <c r="A421" s="65" t="s">
        <v>9</v>
      </c>
      <c r="B421" s="164"/>
      <c r="C421" s="61" t="s">
        <v>212</v>
      </c>
      <c r="D421" s="66"/>
      <c r="E421" s="66"/>
      <c r="F421" s="67"/>
      <c r="G421" s="68"/>
    </row>
    <row r="422" spans="1:7" x14ac:dyDescent="0.3">
      <c r="A422" s="1"/>
      <c r="C422" s="22"/>
      <c r="F422" s="6"/>
      <c r="G422" s="2"/>
    </row>
    <row r="423" spans="1:7" x14ac:dyDescent="0.3">
      <c r="A423" s="1"/>
      <c r="C423" s="22"/>
      <c r="F423" s="6"/>
      <c r="G423" s="2"/>
    </row>
    <row r="424" spans="1:7" x14ac:dyDescent="0.3">
      <c r="A424" s="1"/>
      <c r="C424" s="22"/>
      <c r="F424" s="6"/>
      <c r="G424" s="2"/>
    </row>
    <row r="425" spans="1:7" x14ac:dyDescent="0.3">
      <c r="A425" s="1"/>
      <c r="C425" s="22"/>
      <c r="F425" s="6"/>
      <c r="G425" s="2"/>
    </row>
    <row r="426" spans="1:7" ht="15" thickBot="1" x14ac:dyDescent="0.35">
      <c r="A426" s="3"/>
      <c r="B426" s="4"/>
      <c r="C426" s="23"/>
      <c r="D426" s="4"/>
      <c r="E426" s="4"/>
      <c r="F426" s="7"/>
      <c r="G426" s="5"/>
    </row>
    <row r="429" spans="1:7" ht="28.8" x14ac:dyDescent="0.3">
      <c r="A429" s="654" t="s">
        <v>217</v>
      </c>
      <c r="B429" s="654"/>
      <c r="C429" s="654"/>
      <c r="D429" s="654"/>
      <c r="E429" s="654"/>
      <c r="F429" s="654"/>
      <c r="G429" s="654"/>
    </row>
    <row r="430" spans="1:7" ht="28.8" x14ac:dyDescent="0.3">
      <c r="A430" s="151"/>
      <c r="B430" s="151"/>
      <c r="C430" s="150"/>
      <c r="D430" s="150"/>
      <c r="E430" s="150"/>
      <c r="F430" s="150"/>
      <c r="G430" s="150"/>
    </row>
    <row r="431" spans="1:7" ht="21.6" thickBot="1" x14ac:dyDescent="0.45">
      <c r="A431" s="642" t="s">
        <v>218</v>
      </c>
      <c r="B431" s="642"/>
      <c r="C431" s="642"/>
      <c r="D431" s="642"/>
      <c r="E431" s="642"/>
      <c r="F431" s="642"/>
      <c r="G431" s="642"/>
    </row>
    <row r="432" spans="1:7" ht="18.600000000000001" thickBot="1" x14ac:dyDescent="0.35">
      <c r="A432" s="20" t="s">
        <v>0</v>
      </c>
      <c r="B432" s="161"/>
      <c r="C432" s="21" t="s">
        <v>1</v>
      </c>
      <c r="D432" s="598" t="s">
        <v>4</v>
      </c>
      <c r="E432" s="599"/>
      <c r="F432" s="21" t="s">
        <v>2</v>
      </c>
      <c r="G432" s="19" t="s">
        <v>3</v>
      </c>
    </row>
    <row r="433" spans="1:7" x14ac:dyDescent="0.3">
      <c r="A433" s="60" t="s">
        <v>5</v>
      </c>
      <c r="B433" s="162"/>
      <c r="C433" s="61" t="s">
        <v>6</v>
      </c>
      <c r="D433" s="62"/>
      <c r="E433" s="62"/>
      <c r="F433" s="63"/>
      <c r="G433" s="64"/>
    </row>
    <row r="434" spans="1:7" x14ac:dyDescent="0.3">
      <c r="A434" s="50"/>
      <c r="B434" s="51"/>
      <c r="C434" s="54"/>
      <c r="D434" s="51"/>
      <c r="E434" s="51"/>
      <c r="F434" s="52"/>
      <c r="G434" s="53"/>
    </row>
    <row r="435" spans="1:7" x14ac:dyDescent="0.3">
      <c r="A435" s="1"/>
      <c r="C435" s="22"/>
      <c r="D435" s="49"/>
      <c r="F435" s="46"/>
      <c r="G435" s="2"/>
    </row>
    <row r="436" spans="1:7" x14ac:dyDescent="0.3">
      <c r="A436" s="1"/>
      <c r="C436" s="22"/>
      <c r="D436" s="49"/>
      <c r="F436" s="46"/>
      <c r="G436" s="2"/>
    </row>
    <row r="437" spans="1:7" x14ac:dyDescent="0.3">
      <c r="A437" s="1"/>
      <c r="C437" s="22"/>
      <c r="D437" s="49"/>
      <c r="F437" s="6"/>
      <c r="G437" s="2"/>
    </row>
    <row r="438" spans="1:7" x14ac:dyDescent="0.3">
      <c r="A438" s="1"/>
      <c r="C438" s="22"/>
      <c r="D438" s="49"/>
      <c r="F438" s="6"/>
      <c r="G438" s="2"/>
    </row>
    <row r="439" spans="1:7" x14ac:dyDescent="0.3">
      <c r="A439" s="1"/>
      <c r="C439" s="22"/>
      <c r="D439" s="49"/>
      <c r="F439" s="6"/>
      <c r="G439" s="2"/>
    </row>
    <row r="440" spans="1:7" x14ac:dyDescent="0.3">
      <c r="A440" s="1"/>
      <c r="C440" s="22"/>
      <c r="D440" s="49"/>
      <c r="F440" s="6"/>
      <c r="G440" s="2"/>
    </row>
    <row r="441" spans="1:7" ht="15" thickBot="1" x14ac:dyDescent="0.35">
      <c r="A441" s="3"/>
      <c r="B441" s="4"/>
      <c r="C441" s="23"/>
      <c r="D441" s="4"/>
      <c r="E441" s="4"/>
      <c r="F441" s="7"/>
      <c r="G441" s="5"/>
    </row>
    <row r="442" spans="1:7" x14ac:dyDescent="0.3">
      <c r="A442" s="60" t="s">
        <v>209</v>
      </c>
      <c r="B442" s="162"/>
      <c r="C442" s="61" t="s">
        <v>208</v>
      </c>
      <c r="D442" s="62"/>
      <c r="E442" s="62"/>
      <c r="F442" s="63"/>
      <c r="G442" s="64"/>
    </row>
    <row r="443" spans="1:7" x14ac:dyDescent="0.3">
      <c r="A443" s="50"/>
      <c r="B443" s="51"/>
      <c r="C443" s="54"/>
      <c r="D443" s="51"/>
      <c r="E443" s="51"/>
      <c r="F443" s="52"/>
      <c r="G443" s="53"/>
    </row>
    <row r="444" spans="1:7" x14ac:dyDescent="0.3">
      <c r="A444" s="1"/>
      <c r="C444" s="22"/>
      <c r="F444" s="46"/>
      <c r="G444" s="2"/>
    </row>
    <row r="445" spans="1:7" x14ac:dyDescent="0.3">
      <c r="A445" s="1"/>
      <c r="C445" s="22"/>
      <c r="F445" s="46"/>
      <c r="G445" s="2"/>
    </row>
    <row r="446" spans="1:7" x14ac:dyDescent="0.3">
      <c r="A446" s="1"/>
      <c r="C446" s="22"/>
      <c r="F446" s="46"/>
      <c r="G446" s="2"/>
    </row>
    <row r="447" spans="1:7" x14ac:dyDescent="0.3">
      <c r="A447" s="1"/>
      <c r="C447" s="22"/>
      <c r="F447" s="46"/>
      <c r="G447" s="2"/>
    </row>
    <row r="448" spans="1:7" x14ac:dyDescent="0.3">
      <c r="A448" s="1"/>
      <c r="C448" s="22"/>
      <c r="F448" s="46"/>
      <c r="G448" s="2"/>
    </row>
    <row r="449" spans="1:7" x14ac:dyDescent="0.3">
      <c r="A449" s="1"/>
      <c r="C449" s="22"/>
      <c r="F449" s="46"/>
      <c r="G449" s="2"/>
    </row>
    <row r="450" spans="1:7" ht="17.399999999999999" customHeight="1" x14ac:dyDescent="0.3">
      <c r="A450" s="1"/>
      <c r="C450" s="22"/>
      <c r="F450" s="46"/>
      <c r="G450" s="2"/>
    </row>
    <row r="451" spans="1:7" ht="16.8" customHeight="1" x14ac:dyDescent="0.3">
      <c r="A451" s="47"/>
      <c r="B451" s="163"/>
      <c r="C451" s="22"/>
      <c r="D451" s="48"/>
      <c r="F451" s="46"/>
      <c r="G451" s="2"/>
    </row>
    <row r="452" spans="1:7" x14ac:dyDescent="0.3">
      <c r="A452" s="47"/>
      <c r="B452" s="163"/>
      <c r="C452" s="22"/>
      <c r="D452" s="48"/>
      <c r="F452" s="46"/>
      <c r="G452" s="2"/>
    </row>
    <row r="453" spans="1:7" ht="15" thickBot="1" x14ac:dyDescent="0.35">
      <c r="A453" s="47"/>
      <c r="B453" s="163"/>
      <c r="C453" s="22"/>
      <c r="D453" s="48"/>
      <c r="F453" s="46"/>
      <c r="G453" s="2"/>
    </row>
    <row r="454" spans="1:7" x14ac:dyDescent="0.3">
      <c r="A454" s="60" t="s">
        <v>210</v>
      </c>
      <c r="B454" s="162"/>
      <c r="C454" s="61" t="s">
        <v>211</v>
      </c>
      <c r="D454" s="62"/>
      <c r="E454" s="62"/>
      <c r="F454" s="63"/>
      <c r="G454" s="64"/>
    </row>
    <row r="455" spans="1:7" x14ac:dyDescent="0.3">
      <c r="A455" s="47"/>
      <c r="B455" s="163"/>
      <c r="C455" s="22"/>
      <c r="D455" s="48"/>
      <c r="F455" s="46"/>
      <c r="G455" s="2"/>
    </row>
    <row r="456" spans="1:7" x14ac:dyDescent="0.3">
      <c r="A456" s="47"/>
      <c r="B456" s="163"/>
      <c r="C456" s="22"/>
      <c r="D456" s="48"/>
      <c r="F456" s="6"/>
      <c r="G456" s="2"/>
    </row>
    <row r="457" spans="1:7" x14ac:dyDescent="0.3">
      <c r="A457" s="47"/>
      <c r="B457" s="163"/>
      <c r="C457" s="22"/>
      <c r="D457" s="48"/>
      <c r="F457" s="6"/>
      <c r="G457" s="2"/>
    </row>
    <row r="458" spans="1:7" x14ac:dyDescent="0.3">
      <c r="A458" s="47"/>
      <c r="B458" s="163"/>
      <c r="C458" s="22"/>
      <c r="D458" s="48"/>
      <c r="F458" s="6"/>
      <c r="G458" s="2"/>
    </row>
    <row r="459" spans="1:7" x14ac:dyDescent="0.3">
      <c r="A459" s="47"/>
      <c r="B459" s="163"/>
      <c r="C459" s="22"/>
      <c r="D459" s="48"/>
      <c r="F459" s="6"/>
      <c r="G459" s="2"/>
    </row>
    <row r="460" spans="1:7" x14ac:dyDescent="0.3">
      <c r="A460" s="47"/>
      <c r="B460" s="163"/>
      <c r="C460" s="22"/>
      <c r="D460" s="48"/>
      <c r="F460" s="6"/>
      <c r="G460" s="2"/>
    </row>
    <row r="461" spans="1:7" x14ac:dyDescent="0.3">
      <c r="A461" s="47"/>
      <c r="B461" s="163"/>
      <c r="C461" s="22"/>
      <c r="D461" s="48"/>
      <c r="F461" s="6"/>
      <c r="G461" s="2"/>
    </row>
    <row r="462" spans="1:7" x14ac:dyDescent="0.3">
      <c r="A462" s="47"/>
      <c r="B462" s="163"/>
      <c r="C462" s="22"/>
      <c r="D462" s="48"/>
      <c r="F462" s="6"/>
      <c r="G462" s="2"/>
    </row>
    <row r="463" spans="1:7" x14ac:dyDescent="0.3">
      <c r="A463" s="1"/>
      <c r="C463" s="22"/>
      <c r="F463" s="6"/>
      <c r="G463" s="2"/>
    </row>
    <row r="464" spans="1:7" ht="15" thickBot="1" x14ac:dyDescent="0.35">
      <c r="A464" s="3"/>
      <c r="B464" s="4"/>
      <c r="C464" s="23"/>
      <c r="D464" s="4"/>
      <c r="E464" s="4"/>
      <c r="F464" s="7"/>
      <c r="G464" s="5"/>
    </row>
    <row r="465" spans="1:7" x14ac:dyDescent="0.3">
      <c r="A465" s="65" t="s">
        <v>9</v>
      </c>
      <c r="B465" s="164"/>
      <c r="C465" s="61" t="s">
        <v>212</v>
      </c>
      <c r="D465" s="66"/>
      <c r="E465" s="66"/>
      <c r="F465" s="67"/>
      <c r="G465" s="68"/>
    </row>
    <row r="466" spans="1:7" x14ac:dyDescent="0.3">
      <c r="A466" s="1"/>
      <c r="C466" s="22"/>
      <c r="F466" s="6"/>
      <c r="G466" s="2"/>
    </row>
    <row r="467" spans="1:7" x14ac:dyDescent="0.3">
      <c r="A467" s="1"/>
      <c r="C467" s="22"/>
      <c r="F467" s="6"/>
      <c r="G467" s="2"/>
    </row>
    <row r="468" spans="1:7" x14ac:dyDescent="0.3">
      <c r="A468" s="1"/>
      <c r="C468" s="22"/>
      <c r="F468" s="6"/>
      <c r="G468" s="2"/>
    </row>
    <row r="469" spans="1:7" x14ac:dyDescent="0.3">
      <c r="A469" s="1"/>
      <c r="C469" s="22"/>
      <c r="F469" s="6"/>
      <c r="G469" s="2"/>
    </row>
    <row r="470" spans="1:7" ht="15" thickBot="1" x14ac:dyDescent="0.35">
      <c r="A470" s="3"/>
      <c r="B470" s="4"/>
      <c r="C470" s="23"/>
      <c r="D470" s="4"/>
      <c r="E470" s="4"/>
      <c r="F470" s="7"/>
      <c r="G470" s="5"/>
    </row>
    <row r="475" spans="1:7" ht="28.8" x14ac:dyDescent="0.3">
      <c r="A475" s="596" t="s">
        <v>7</v>
      </c>
      <c r="B475" s="596"/>
      <c r="C475" s="596"/>
      <c r="D475" s="596"/>
      <c r="E475" s="596"/>
      <c r="F475" s="596"/>
      <c r="G475" s="596"/>
    </row>
    <row r="476" spans="1:7" ht="28.8" x14ac:dyDescent="0.3">
      <c r="A476" s="150"/>
      <c r="B476" s="150"/>
      <c r="C476" s="150"/>
      <c r="D476" s="150"/>
      <c r="E476" s="150"/>
      <c r="F476" s="150"/>
      <c r="G476" s="150"/>
    </row>
    <row r="477" spans="1:7" ht="21.6" thickBot="1" x14ac:dyDescent="0.45">
      <c r="A477" s="642" t="s">
        <v>219</v>
      </c>
      <c r="B477" s="642"/>
      <c r="C477" s="642"/>
      <c r="D477" s="642"/>
      <c r="E477" s="642"/>
      <c r="F477" s="642"/>
      <c r="G477" s="642"/>
    </row>
    <row r="478" spans="1:7" ht="18.600000000000001" thickBot="1" x14ac:dyDescent="0.35">
      <c r="A478" s="20" t="s">
        <v>0</v>
      </c>
      <c r="B478" s="161"/>
      <c r="C478" s="21" t="s">
        <v>1</v>
      </c>
      <c r="D478" s="598" t="s">
        <v>4</v>
      </c>
      <c r="E478" s="599"/>
      <c r="F478" s="21" t="s">
        <v>2</v>
      </c>
      <c r="G478" s="19" t="s">
        <v>3</v>
      </c>
    </row>
    <row r="479" spans="1:7" x14ac:dyDescent="0.3">
      <c r="A479" s="60" t="s">
        <v>5</v>
      </c>
      <c r="B479" s="162"/>
      <c r="C479" s="61" t="s">
        <v>6</v>
      </c>
      <c r="D479" s="62"/>
      <c r="E479" s="62"/>
      <c r="F479" s="63"/>
      <c r="G479" s="64"/>
    </row>
    <row r="480" spans="1:7" x14ac:dyDescent="0.3">
      <c r="A480" s="50"/>
      <c r="B480" s="51"/>
      <c r="C480" s="54"/>
      <c r="D480" s="51"/>
      <c r="E480" s="51"/>
      <c r="F480" s="52"/>
      <c r="G480" s="53"/>
    </row>
    <row r="481" spans="1:7" x14ac:dyDescent="0.3">
      <c r="A481" s="1"/>
      <c r="C481" s="22"/>
      <c r="D481" s="49"/>
      <c r="F481" s="46"/>
      <c r="G481" s="2"/>
    </row>
    <row r="482" spans="1:7" x14ac:dyDescent="0.3">
      <c r="A482" s="1"/>
      <c r="C482" s="22"/>
      <c r="D482" s="49"/>
      <c r="F482" s="46"/>
      <c r="G482" s="2"/>
    </row>
    <row r="483" spans="1:7" x14ac:dyDescent="0.3">
      <c r="A483" s="1"/>
      <c r="C483" s="22"/>
      <c r="D483" s="49"/>
      <c r="F483" s="6"/>
      <c r="G483" s="2"/>
    </row>
    <row r="484" spans="1:7" x14ac:dyDescent="0.3">
      <c r="A484" s="1"/>
      <c r="C484" s="22"/>
      <c r="D484" s="49"/>
      <c r="F484" s="6"/>
      <c r="G484" s="2"/>
    </row>
    <row r="485" spans="1:7" x14ac:dyDescent="0.3">
      <c r="A485" s="1"/>
      <c r="C485" s="22"/>
      <c r="D485" s="49"/>
      <c r="F485" s="6"/>
      <c r="G485" s="2"/>
    </row>
    <row r="486" spans="1:7" x14ac:dyDescent="0.3">
      <c r="A486" s="1"/>
      <c r="C486" s="22"/>
      <c r="D486" s="49"/>
      <c r="F486" s="6"/>
      <c r="G486" s="2"/>
    </row>
    <row r="487" spans="1:7" ht="15" thickBot="1" x14ac:dyDescent="0.35">
      <c r="A487" s="3"/>
      <c r="B487" s="4"/>
      <c r="C487" s="23"/>
      <c r="D487" s="4"/>
      <c r="E487" s="4"/>
      <c r="F487" s="7"/>
      <c r="G487" s="5"/>
    </row>
    <row r="488" spans="1:7" x14ac:dyDescent="0.3">
      <c r="A488" s="60" t="s">
        <v>209</v>
      </c>
      <c r="B488" s="162"/>
      <c r="C488" s="61" t="s">
        <v>208</v>
      </c>
      <c r="D488" s="62"/>
      <c r="E488" s="62"/>
      <c r="F488" s="63"/>
      <c r="G488" s="64"/>
    </row>
    <row r="489" spans="1:7" x14ac:dyDescent="0.3">
      <c r="A489" s="50"/>
      <c r="B489" s="51"/>
      <c r="C489" s="54"/>
      <c r="D489" s="51"/>
      <c r="E489" s="51"/>
      <c r="F489" s="52"/>
      <c r="G489" s="53"/>
    </row>
    <row r="490" spans="1:7" x14ac:dyDescent="0.3">
      <c r="A490" s="1"/>
      <c r="C490" s="22"/>
      <c r="F490" s="46"/>
      <c r="G490" s="2"/>
    </row>
    <row r="491" spans="1:7" x14ac:dyDescent="0.3">
      <c r="A491" s="1"/>
      <c r="C491" s="22"/>
      <c r="F491" s="46"/>
      <c r="G491" s="2"/>
    </row>
    <row r="492" spans="1:7" x14ac:dyDescent="0.3">
      <c r="A492" s="1"/>
      <c r="C492" s="22"/>
      <c r="F492" s="46"/>
      <c r="G492" s="2"/>
    </row>
    <row r="493" spans="1:7" x14ac:dyDescent="0.3">
      <c r="A493" s="1"/>
      <c r="C493" s="22"/>
      <c r="F493" s="46"/>
      <c r="G493" s="2"/>
    </row>
    <row r="494" spans="1:7" x14ac:dyDescent="0.3">
      <c r="A494" s="1"/>
      <c r="C494" s="22"/>
      <c r="F494" s="46"/>
      <c r="G494" s="2"/>
    </row>
    <row r="495" spans="1:7" x14ac:dyDescent="0.3">
      <c r="A495" s="1"/>
      <c r="C495" s="22"/>
      <c r="F495" s="46"/>
      <c r="G495" s="2"/>
    </row>
    <row r="496" spans="1:7" ht="17.399999999999999" customHeight="1" x14ac:dyDescent="0.3">
      <c r="A496" s="1"/>
      <c r="C496" s="22"/>
      <c r="F496" s="46"/>
      <c r="G496" s="2"/>
    </row>
    <row r="497" spans="1:7" ht="16.8" customHeight="1" x14ac:dyDescent="0.3">
      <c r="A497" s="47"/>
      <c r="B497" s="163"/>
      <c r="C497" s="22"/>
      <c r="D497" s="48"/>
      <c r="F497" s="46"/>
      <c r="G497" s="2"/>
    </row>
    <row r="498" spans="1:7" x14ac:dyDescent="0.3">
      <c r="A498" s="47"/>
      <c r="B498" s="163"/>
      <c r="C498" s="22"/>
      <c r="D498" s="48"/>
      <c r="F498" s="46"/>
      <c r="G498" s="2"/>
    </row>
    <row r="499" spans="1:7" ht="15" thickBot="1" x14ac:dyDescent="0.35">
      <c r="A499" s="47"/>
      <c r="B499" s="163"/>
      <c r="C499" s="22"/>
      <c r="D499" s="48"/>
      <c r="F499" s="46"/>
      <c r="G499" s="2"/>
    </row>
    <row r="500" spans="1:7" x14ac:dyDescent="0.3">
      <c r="A500" s="60" t="s">
        <v>210</v>
      </c>
      <c r="B500" s="162"/>
      <c r="C500" s="61" t="s">
        <v>211</v>
      </c>
      <c r="D500" s="62"/>
      <c r="E500" s="62"/>
      <c r="F500" s="63"/>
      <c r="G500" s="64"/>
    </row>
    <row r="501" spans="1:7" x14ac:dyDescent="0.3">
      <c r="A501" s="47"/>
      <c r="B501" s="163"/>
      <c r="C501" s="22"/>
      <c r="D501" s="48"/>
      <c r="F501" s="46"/>
      <c r="G501" s="2"/>
    </row>
    <row r="502" spans="1:7" x14ac:dyDescent="0.3">
      <c r="A502" s="47"/>
      <c r="B502" s="163"/>
      <c r="C502" s="22"/>
      <c r="D502" s="48"/>
      <c r="F502" s="6"/>
      <c r="G502" s="2"/>
    </row>
    <row r="503" spans="1:7" x14ac:dyDescent="0.3">
      <c r="A503" s="47"/>
      <c r="B503" s="163"/>
      <c r="C503" s="22"/>
      <c r="D503" s="48"/>
      <c r="F503" s="6"/>
      <c r="G503" s="2"/>
    </row>
    <row r="504" spans="1:7" x14ac:dyDescent="0.3">
      <c r="A504" s="47"/>
      <c r="B504" s="163"/>
      <c r="C504" s="22"/>
      <c r="D504" s="48"/>
      <c r="F504" s="6"/>
      <c r="G504" s="2"/>
    </row>
    <row r="505" spans="1:7" x14ac:dyDescent="0.3">
      <c r="A505" s="47"/>
      <c r="B505" s="163"/>
      <c r="C505" s="22"/>
      <c r="D505" s="48"/>
      <c r="F505" s="6"/>
      <c r="G505" s="2"/>
    </row>
    <row r="506" spans="1:7" x14ac:dyDescent="0.3">
      <c r="A506" s="47"/>
      <c r="B506" s="163"/>
      <c r="C506" s="22"/>
      <c r="D506" s="48"/>
      <c r="F506" s="6"/>
      <c r="G506" s="2"/>
    </row>
    <row r="507" spans="1:7" x14ac:dyDescent="0.3">
      <c r="A507" s="47"/>
      <c r="B507" s="163"/>
      <c r="C507" s="22"/>
      <c r="D507" s="48"/>
      <c r="F507" s="6"/>
      <c r="G507" s="2"/>
    </row>
    <row r="508" spans="1:7" x14ac:dyDescent="0.3">
      <c r="A508" s="47"/>
      <c r="B508" s="163"/>
      <c r="C508" s="22"/>
      <c r="D508" s="48"/>
      <c r="F508" s="6"/>
      <c r="G508" s="2"/>
    </row>
    <row r="509" spans="1:7" x14ac:dyDescent="0.3">
      <c r="A509" s="1"/>
      <c r="C509" s="22"/>
      <c r="F509" s="6"/>
      <c r="G509" s="2"/>
    </row>
    <row r="510" spans="1:7" ht="15" thickBot="1" x14ac:dyDescent="0.35">
      <c r="A510" s="3"/>
      <c r="B510" s="4"/>
      <c r="C510" s="23"/>
      <c r="D510" s="4"/>
      <c r="E510" s="4"/>
      <c r="F510" s="7"/>
      <c r="G510" s="5"/>
    </row>
    <row r="511" spans="1:7" x14ac:dyDescent="0.3">
      <c r="A511" s="65" t="s">
        <v>9</v>
      </c>
      <c r="B511" s="164"/>
      <c r="C511" s="61" t="s">
        <v>212</v>
      </c>
      <c r="D511" s="66"/>
      <c r="E511" s="66"/>
      <c r="F511" s="67"/>
      <c r="G511" s="68"/>
    </row>
    <row r="512" spans="1:7" x14ac:dyDescent="0.3">
      <c r="A512" s="1"/>
      <c r="C512" s="22"/>
      <c r="F512" s="6"/>
      <c r="G512" s="2"/>
    </row>
    <row r="513" spans="1:7" x14ac:dyDescent="0.3">
      <c r="A513" s="1"/>
      <c r="C513" s="22"/>
      <c r="F513" s="6"/>
      <c r="G513" s="2"/>
    </row>
    <row r="514" spans="1:7" x14ac:dyDescent="0.3">
      <c r="A514" s="1"/>
      <c r="C514" s="22"/>
      <c r="F514" s="6"/>
      <c r="G514" s="2"/>
    </row>
    <row r="515" spans="1:7" x14ac:dyDescent="0.3">
      <c r="A515" s="1"/>
      <c r="C515" s="22"/>
      <c r="F515" s="6"/>
      <c r="G515" s="2"/>
    </row>
    <row r="516" spans="1:7" ht="15" thickBot="1" x14ac:dyDescent="0.35">
      <c r="A516" s="3"/>
      <c r="B516" s="4"/>
      <c r="C516" s="23"/>
      <c r="D516" s="4"/>
      <c r="E516" s="4"/>
      <c r="F516" s="7"/>
      <c r="G516" s="5"/>
    </row>
    <row r="522" spans="1:7" ht="28.8" x14ac:dyDescent="0.3">
      <c r="A522" s="596" t="s">
        <v>7</v>
      </c>
      <c r="B522" s="596"/>
      <c r="C522" s="596"/>
      <c r="D522" s="596"/>
      <c r="E522" s="596"/>
      <c r="F522" s="596"/>
      <c r="G522" s="596"/>
    </row>
    <row r="523" spans="1:7" ht="28.8" x14ac:dyDescent="0.3">
      <c r="A523" s="150"/>
      <c r="B523" s="150"/>
      <c r="C523" s="150"/>
      <c r="D523" s="150"/>
      <c r="E523" s="150"/>
      <c r="F523" s="150"/>
      <c r="G523" s="150"/>
    </row>
    <row r="524" spans="1:7" ht="21.6" thickBot="1" x14ac:dyDescent="0.45">
      <c r="A524" s="642" t="s">
        <v>220</v>
      </c>
      <c r="B524" s="642"/>
      <c r="C524" s="642"/>
      <c r="D524" s="642"/>
      <c r="E524" s="642"/>
      <c r="F524" s="642"/>
      <c r="G524" s="642"/>
    </row>
    <row r="525" spans="1:7" ht="18.600000000000001" thickBot="1" x14ac:dyDescent="0.35">
      <c r="A525" s="20" t="s">
        <v>235</v>
      </c>
      <c r="B525" s="161" t="s">
        <v>34</v>
      </c>
      <c r="C525" s="21" t="s">
        <v>1</v>
      </c>
      <c r="D525" s="598" t="s">
        <v>4</v>
      </c>
      <c r="E525" s="599"/>
      <c r="F525" s="21" t="s">
        <v>2</v>
      </c>
      <c r="G525" s="19" t="s">
        <v>3</v>
      </c>
    </row>
    <row r="526" spans="1:7" x14ac:dyDescent="0.3">
      <c r="A526" s="219" t="s">
        <v>237</v>
      </c>
      <c r="B526" s="162"/>
      <c r="C526" s="61" t="s">
        <v>208</v>
      </c>
      <c r="D526" s="62"/>
      <c r="E526" s="62"/>
      <c r="F526" s="63"/>
      <c r="G526" s="64"/>
    </row>
    <row r="527" spans="1:7" ht="14.4" customHeight="1" x14ac:dyDescent="0.3">
      <c r="A527" s="13" t="s">
        <v>247</v>
      </c>
      <c r="B527" s="169" t="s">
        <v>248</v>
      </c>
      <c r="C527" s="72" t="s">
        <v>388</v>
      </c>
      <c r="D527" s="634" t="s">
        <v>389</v>
      </c>
      <c r="E527" s="635"/>
      <c r="F527" s="191">
        <v>45429</v>
      </c>
      <c r="G527" s="71"/>
    </row>
    <row r="528" spans="1:7" ht="14.4" customHeight="1" x14ac:dyDescent="0.3">
      <c r="A528" s="175" t="s">
        <v>240</v>
      </c>
      <c r="B528" s="174" t="s">
        <v>234</v>
      </c>
      <c r="C528" s="69"/>
      <c r="D528" s="621" t="s">
        <v>259</v>
      </c>
      <c r="E528" s="622"/>
      <c r="F528" s="70"/>
      <c r="G528" s="192" t="s">
        <v>390</v>
      </c>
    </row>
    <row r="529" spans="1:7" x14ac:dyDescent="0.3">
      <c r="A529" s="175" t="s">
        <v>228</v>
      </c>
      <c r="B529" s="174" t="e">
        <f>#REF!</f>
        <v>#REF!</v>
      </c>
      <c r="C529" s="69"/>
      <c r="D529" s="197"/>
      <c r="E529" s="198"/>
      <c r="F529" s="70"/>
      <c r="G529" s="192"/>
    </row>
    <row r="530" spans="1:7" ht="14.4" customHeight="1" x14ac:dyDescent="0.3">
      <c r="A530" s="1" t="s">
        <v>241</v>
      </c>
      <c r="B530" t="s">
        <v>249</v>
      </c>
      <c r="C530" s="6"/>
      <c r="D530" s="612" t="s">
        <v>262</v>
      </c>
      <c r="E530" s="613"/>
      <c r="F530" s="6"/>
      <c r="G530" s="659" t="s">
        <v>336</v>
      </c>
    </row>
    <row r="531" spans="1:7" ht="14.4" customHeight="1" x14ac:dyDescent="0.3">
      <c r="A531" s="186" t="s">
        <v>370</v>
      </c>
      <c r="B531" t="s">
        <v>249</v>
      </c>
      <c r="C531" s="6"/>
      <c r="D531" s="612" t="s">
        <v>397</v>
      </c>
      <c r="E531" s="613"/>
      <c r="F531" s="46">
        <v>45426</v>
      </c>
      <c r="G531" s="650"/>
    </row>
    <row r="532" spans="1:7" ht="14.4" customHeight="1" x14ac:dyDescent="0.3">
      <c r="A532" s="186" t="s">
        <v>323</v>
      </c>
      <c r="B532" s="81" t="s">
        <v>250</v>
      </c>
      <c r="C532" s="22"/>
      <c r="D532" s="612" t="s">
        <v>391</v>
      </c>
      <c r="E532" s="613"/>
      <c r="F532" s="46"/>
      <c r="G532" s="650"/>
    </row>
    <row r="533" spans="1:7" x14ac:dyDescent="0.3">
      <c r="A533" s="1" t="s">
        <v>335</v>
      </c>
      <c r="B533" t="s">
        <v>337</v>
      </c>
      <c r="C533" s="6"/>
      <c r="D533" s="612"/>
      <c r="E533" s="613"/>
      <c r="F533" s="6"/>
      <c r="G533" s="650"/>
    </row>
    <row r="534" spans="1:7" ht="14.4" customHeight="1" x14ac:dyDescent="0.3">
      <c r="A534" s="1" t="s">
        <v>242</v>
      </c>
      <c r="B534" t="s">
        <v>324</v>
      </c>
      <c r="C534" s="6"/>
      <c r="D534" s="612" t="s">
        <v>261</v>
      </c>
      <c r="E534" s="613"/>
      <c r="F534" s="6"/>
      <c r="G534" s="220" t="s">
        <v>399</v>
      </c>
    </row>
    <row r="535" spans="1:7" ht="14.4" customHeight="1" x14ac:dyDescent="0.3">
      <c r="A535" s="13" t="s">
        <v>320</v>
      </c>
      <c r="B535" s="169" t="s">
        <v>338</v>
      </c>
      <c r="C535" s="193"/>
      <c r="D535" s="634" t="s">
        <v>392</v>
      </c>
      <c r="E535" s="635"/>
      <c r="F535" s="191"/>
      <c r="G535" s="221" t="s">
        <v>400</v>
      </c>
    </row>
    <row r="536" spans="1:7" x14ac:dyDescent="0.3">
      <c r="A536" s="175" t="s">
        <v>263</v>
      </c>
      <c r="B536" s="174" t="s">
        <v>264</v>
      </c>
      <c r="C536" s="194"/>
      <c r="D536" s="195" t="s">
        <v>402</v>
      </c>
      <c r="E536" s="174"/>
      <c r="F536" s="69"/>
      <c r="G536" s="192"/>
    </row>
    <row r="537" spans="1:7" ht="14.4" customHeight="1" x14ac:dyDescent="0.3">
      <c r="A537" s="175" t="s">
        <v>243</v>
      </c>
      <c r="B537" s="174" t="s">
        <v>251</v>
      </c>
      <c r="C537" s="69"/>
      <c r="D537" s="621" t="s">
        <v>262</v>
      </c>
      <c r="E537" s="622"/>
      <c r="F537" s="69"/>
      <c r="G537" s="223" t="s">
        <v>403</v>
      </c>
    </row>
    <row r="538" spans="1:7" x14ac:dyDescent="0.3">
      <c r="A538" s="175" t="s">
        <v>332</v>
      </c>
      <c r="B538" s="174" t="s">
        <v>393</v>
      </c>
      <c r="C538" s="194" t="s">
        <v>334</v>
      </c>
      <c r="D538" s="196" t="s">
        <v>394</v>
      </c>
      <c r="E538" s="196"/>
      <c r="F538" s="70"/>
      <c r="G538" s="192" t="s">
        <v>395</v>
      </c>
    </row>
    <row r="539" spans="1:7" x14ac:dyDescent="0.3">
      <c r="A539" s="1" t="s">
        <v>348</v>
      </c>
      <c r="B539" t="e">
        <f>#REF!</f>
        <v>#REF!</v>
      </c>
      <c r="C539" s="22"/>
      <c r="D539" s="185"/>
      <c r="E539" s="185"/>
      <c r="F539" s="46"/>
      <c r="G539" s="2" t="s">
        <v>404</v>
      </c>
    </row>
    <row r="540" spans="1:7" ht="15" thickBot="1" x14ac:dyDescent="0.35">
      <c r="A540" s="47"/>
      <c r="B540" s="163"/>
      <c r="C540" s="22"/>
      <c r="D540" s="48"/>
      <c r="F540" s="46"/>
      <c r="G540" s="2"/>
    </row>
    <row r="541" spans="1:7" ht="17.399999999999999" customHeight="1" x14ac:dyDescent="0.3">
      <c r="A541" s="60" t="s">
        <v>238</v>
      </c>
      <c r="B541" s="162"/>
      <c r="C541" s="61" t="s">
        <v>211</v>
      </c>
      <c r="D541" s="62"/>
      <c r="E541" s="62"/>
      <c r="F541" s="63"/>
      <c r="G541" s="64"/>
    </row>
    <row r="542" spans="1:7" x14ac:dyDescent="0.3">
      <c r="A542" s="1" t="s">
        <v>346</v>
      </c>
      <c r="B542" t="s">
        <v>234</v>
      </c>
      <c r="C542" s="22"/>
      <c r="D542" s="2" t="s">
        <v>340</v>
      </c>
      <c r="F542" s="6"/>
      <c r="G542" s="2" t="s">
        <v>347</v>
      </c>
    </row>
    <row r="543" spans="1:7" x14ac:dyDescent="0.3">
      <c r="A543" s="47" t="s">
        <v>263</v>
      </c>
      <c r="B543" t="s">
        <v>264</v>
      </c>
      <c r="C543" s="22"/>
      <c r="D543" s="48" t="s">
        <v>311</v>
      </c>
      <c r="F543" s="6" t="s">
        <v>312</v>
      </c>
      <c r="G543" s="2" t="s">
        <v>329</v>
      </c>
    </row>
    <row r="544" spans="1:7" x14ac:dyDescent="0.3">
      <c r="A544" s="47" t="s">
        <v>335</v>
      </c>
      <c r="B544" t="s">
        <v>337</v>
      </c>
      <c r="C544" s="22"/>
      <c r="D544" s="48" t="s">
        <v>372</v>
      </c>
      <c r="F544" s="6" t="s">
        <v>373</v>
      </c>
      <c r="G544" s="2" t="s">
        <v>374</v>
      </c>
    </row>
    <row r="545" spans="1:7" ht="14.4" customHeight="1" x14ac:dyDescent="0.3">
      <c r="A545" s="218" t="s">
        <v>323</v>
      </c>
      <c r="B545" s="81" t="s">
        <v>324</v>
      </c>
      <c r="C545" s="22"/>
      <c r="D545" s="612" t="s">
        <v>327</v>
      </c>
      <c r="E545" s="613"/>
      <c r="F545" s="6" t="s">
        <v>328</v>
      </c>
      <c r="G545" s="2" t="s">
        <v>42</v>
      </c>
    </row>
    <row r="546" spans="1:7" ht="14.4" customHeight="1" x14ac:dyDescent="0.3">
      <c r="A546" s="218" t="s">
        <v>370</v>
      </c>
      <c r="B546" t="s">
        <v>249</v>
      </c>
      <c r="C546" s="22"/>
      <c r="D546" s="612" t="s">
        <v>396</v>
      </c>
      <c r="E546" s="613"/>
      <c r="F546" s="6" t="s">
        <v>398</v>
      </c>
      <c r="G546" s="2" t="s">
        <v>371</v>
      </c>
    </row>
    <row r="547" spans="1:7" ht="14.4" customHeight="1" x14ac:dyDescent="0.3">
      <c r="A547" s="222" t="s">
        <v>320</v>
      </c>
      <c r="B547" s="169" t="s">
        <v>338</v>
      </c>
      <c r="C547" s="193"/>
      <c r="D547" s="634" t="s">
        <v>401</v>
      </c>
      <c r="E547" s="635"/>
      <c r="F547" s="191"/>
      <c r="G547" s="221" t="s">
        <v>400</v>
      </c>
    </row>
    <row r="548" spans="1:7" ht="14.4" customHeight="1" x14ac:dyDescent="0.3">
      <c r="A548" s="186" t="s">
        <v>341</v>
      </c>
      <c r="B548" s="81" t="s">
        <v>343</v>
      </c>
      <c r="C548" s="22"/>
      <c r="D548" s="612" t="s">
        <v>342</v>
      </c>
      <c r="E548" s="613"/>
      <c r="F548" s="6" t="s">
        <v>369</v>
      </c>
      <c r="G548" s="2" t="s">
        <v>233</v>
      </c>
    </row>
    <row r="549" spans="1:7" x14ac:dyDescent="0.3">
      <c r="A549" s="186" t="s">
        <v>345</v>
      </c>
      <c r="B549" s="81"/>
      <c r="C549" s="22"/>
      <c r="D549" s="185"/>
      <c r="E549" s="185"/>
      <c r="F549" s="6"/>
      <c r="G549" s="2" t="s">
        <v>347</v>
      </c>
    </row>
    <row r="550" spans="1:7" x14ac:dyDescent="0.3">
      <c r="A550" s="47" t="s">
        <v>246</v>
      </c>
      <c r="B550" s="163"/>
      <c r="C550" s="22"/>
      <c r="D550" s="48"/>
      <c r="F550" s="6" t="s">
        <v>369</v>
      </c>
      <c r="G550" s="187" t="s">
        <v>42</v>
      </c>
    </row>
    <row r="551" spans="1:7" x14ac:dyDescent="0.3">
      <c r="A551" s="47"/>
      <c r="B551" s="163"/>
      <c r="C551" s="22"/>
      <c r="D551" s="48"/>
      <c r="F551" s="6"/>
      <c r="G551" s="2"/>
    </row>
    <row r="552" spans="1:7" ht="15" thickBot="1" x14ac:dyDescent="0.35">
      <c r="A552" s="188"/>
      <c r="B552" s="189"/>
      <c r="C552" s="23"/>
      <c r="D552" s="190"/>
      <c r="E552" s="4"/>
      <c r="F552" s="7"/>
      <c r="G552" s="5"/>
    </row>
    <row r="553" spans="1:7" ht="15" thickBot="1" x14ac:dyDescent="0.35">
      <c r="A553" s="60" t="s">
        <v>236</v>
      </c>
      <c r="B553" s="162"/>
      <c r="C553" s="61" t="s">
        <v>239</v>
      </c>
      <c r="D553" s="62"/>
      <c r="E553" s="62"/>
      <c r="F553" s="63"/>
      <c r="G553" s="64"/>
    </row>
    <row r="554" spans="1:7" ht="15" thickBot="1" x14ac:dyDescent="0.35">
      <c r="A554" s="210" t="s">
        <v>309</v>
      </c>
      <c r="B554" s="211"/>
      <c r="C554" s="212"/>
      <c r="D554" s="212" t="s">
        <v>269</v>
      </c>
      <c r="E554" s="213"/>
      <c r="F554" s="213"/>
      <c r="G554" s="214" t="s">
        <v>378</v>
      </c>
    </row>
    <row r="555" spans="1:7" ht="31.2" thickBot="1" x14ac:dyDescent="0.35">
      <c r="A555" s="215" t="s">
        <v>270</v>
      </c>
      <c r="B555" s="211"/>
      <c r="C555" s="212"/>
      <c r="D555" s="216"/>
      <c r="E555" s="213"/>
      <c r="F555" s="213"/>
      <c r="G555" s="217" t="s">
        <v>379</v>
      </c>
    </row>
    <row r="556" spans="1:7" ht="15" thickBot="1" x14ac:dyDescent="0.35">
      <c r="A556" s="215" t="s">
        <v>276</v>
      </c>
      <c r="B556" s="211"/>
      <c r="C556" s="212"/>
      <c r="D556" s="212" t="s">
        <v>380</v>
      </c>
      <c r="E556" s="213" t="s">
        <v>381</v>
      </c>
      <c r="F556" s="213" t="s">
        <v>382</v>
      </c>
      <c r="G556" s="213" t="s">
        <v>383</v>
      </c>
    </row>
    <row r="557" spans="1:7" ht="15" thickBot="1" x14ac:dyDescent="0.35">
      <c r="A557" s="215" t="s">
        <v>277</v>
      </c>
      <c r="B557" s="211"/>
      <c r="C557" s="212"/>
      <c r="D557" s="212" t="s">
        <v>278</v>
      </c>
      <c r="E557" s="213" t="s">
        <v>384</v>
      </c>
      <c r="F557" s="213" t="s">
        <v>369</v>
      </c>
      <c r="G557" s="213" t="s">
        <v>385</v>
      </c>
    </row>
    <row r="558" spans="1:7" ht="15" thickBot="1" x14ac:dyDescent="0.35">
      <c r="A558" s="215" t="s">
        <v>280</v>
      </c>
      <c r="B558" s="211"/>
      <c r="C558" s="212"/>
      <c r="D558" s="212" t="s">
        <v>281</v>
      </c>
      <c r="E558" s="213" t="s">
        <v>282</v>
      </c>
      <c r="F558" s="213"/>
      <c r="G558" s="213" t="s">
        <v>386</v>
      </c>
    </row>
    <row r="559" spans="1:7" x14ac:dyDescent="0.3">
      <c r="A559" s="47"/>
      <c r="B559" s="163"/>
      <c r="C559" s="22"/>
      <c r="D559" s="48"/>
      <c r="F559" s="6"/>
      <c r="G559" s="2"/>
    </row>
    <row r="560" spans="1:7" x14ac:dyDescent="0.3">
      <c r="A560" s="224" t="s">
        <v>289</v>
      </c>
      <c r="B560" s="163"/>
      <c r="C560" s="22"/>
      <c r="D560" s="48"/>
      <c r="F560" s="6"/>
      <c r="G560" s="2"/>
    </row>
    <row r="561" spans="1:7" x14ac:dyDescent="0.3">
      <c r="A561" s="47" t="s">
        <v>284</v>
      </c>
      <c r="B561" s="163"/>
      <c r="C561" s="22"/>
      <c r="D561" s="48"/>
      <c r="F561" s="6"/>
      <c r="G561" s="2"/>
    </row>
    <row r="562" spans="1:7" x14ac:dyDescent="0.3">
      <c r="A562" s="47" t="s">
        <v>285</v>
      </c>
      <c r="B562" s="163"/>
      <c r="C562" s="22"/>
      <c r="D562" s="48"/>
      <c r="F562" s="6"/>
      <c r="G562" s="2"/>
    </row>
    <row r="563" spans="1:7" x14ac:dyDescent="0.3">
      <c r="A563" s="47" t="s">
        <v>286</v>
      </c>
      <c r="B563" s="163"/>
      <c r="C563" s="22"/>
      <c r="D563" s="48"/>
      <c r="F563" s="6"/>
      <c r="G563" s="2"/>
    </row>
    <row r="564" spans="1:7" x14ac:dyDescent="0.3">
      <c r="A564" s="47" t="s">
        <v>287</v>
      </c>
      <c r="B564" s="163"/>
      <c r="C564" s="22"/>
      <c r="D564" s="48"/>
      <c r="F564" s="6"/>
      <c r="G564" s="2"/>
    </row>
    <row r="565" spans="1:7" x14ac:dyDescent="0.3">
      <c r="A565" s="47" t="s">
        <v>288</v>
      </c>
      <c r="B565" s="163"/>
      <c r="C565" s="22"/>
      <c r="D565" s="48"/>
      <c r="F565" s="6"/>
      <c r="G565" s="2"/>
    </row>
    <row r="566" spans="1:7" x14ac:dyDescent="0.3">
      <c r="A566" s="657" t="s">
        <v>290</v>
      </c>
      <c r="B566" s="658"/>
      <c r="C566" s="22"/>
      <c r="D566" s="48"/>
      <c r="F566" s="6"/>
      <c r="G566" s="2"/>
    </row>
    <row r="567" spans="1:7" x14ac:dyDescent="0.3">
      <c r="A567" s="186" t="s">
        <v>291</v>
      </c>
      <c r="B567" s="178"/>
      <c r="C567" s="22"/>
      <c r="D567" s="48"/>
      <c r="E567" s="49">
        <v>45382</v>
      </c>
      <c r="F567" s="6"/>
      <c r="G567" s="2" t="s">
        <v>295</v>
      </c>
    </row>
    <row r="568" spans="1:7" x14ac:dyDescent="0.3">
      <c r="A568" s="186" t="s">
        <v>292</v>
      </c>
      <c r="B568" s="178"/>
      <c r="C568" s="22"/>
      <c r="D568" s="48"/>
      <c r="E568" s="49">
        <v>45397</v>
      </c>
      <c r="F568" s="6"/>
      <c r="G568" s="2"/>
    </row>
    <row r="569" spans="1:7" x14ac:dyDescent="0.3">
      <c r="A569" s="186" t="s">
        <v>293</v>
      </c>
      <c r="B569" s="178"/>
      <c r="C569" s="22"/>
      <c r="D569" s="48"/>
      <c r="E569" s="49">
        <v>45397</v>
      </c>
      <c r="F569" s="6"/>
      <c r="G569" s="2" t="s">
        <v>296</v>
      </c>
    </row>
    <row r="570" spans="1:7" x14ac:dyDescent="0.3">
      <c r="A570" s="186" t="s">
        <v>294</v>
      </c>
      <c r="B570" s="178"/>
      <c r="C570" s="22"/>
      <c r="D570" s="48"/>
      <c r="E570" s="49">
        <v>45412</v>
      </c>
      <c r="F570" s="6"/>
      <c r="G570" s="2"/>
    </row>
    <row r="571" spans="1:7" x14ac:dyDescent="0.3">
      <c r="A571" s="1"/>
      <c r="B571" s="178"/>
      <c r="C571" s="22"/>
      <c r="D571" s="48"/>
      <c r="F571" s="6"/>
      <c r="G571" s="2"/>
    </row>
    <row r="572" spans="1:7" ht="14.4" customHeight="1" x14ac:dyDescent="0.3">
      <c r="A572" s="652" t="s">
        <v>297</v>
      </c>
      <c r="B572" s="653"/>
      <c r="C572" s="22"/>
      <c r="D572" s="48"/>
      <c r="E572" s="181">
        <v>45393</v>
      </c>
      <c r="F572" s="8"/>
      <c r="G572" s="2"/>
    </row>
    <row r="573" spans="1:7" ht="14.4" customHeight="1" x14ac:dyDescent="0.3">
      <c r="A573" s="652" t="s">
        <v>298</v>
      </c>
      <c r="B573" s="653"/>
      <c r="C573" s="22"/>
      <c r="D573" s="48"/>
      <c r="E573" s="181">
        <v>45394</v>
      </c>
      <c r="F573" s="8"/>
      <c r="G573" s="2"/>
    </row>
    <row r="574" spans="1:7" ht="14.4" customHeight="1" x14ac:dyDescent="0.3">
      <c r="A574" s="652" t="s">
        <v>299</v>
      </c>
      <c r="B574" s="653"/>
      <c r="C574" s="22"/>
      <c r="D574" s="48"/>
      <c r="E574" s="176" t="s">
        <v>301</v>
      </c>
      <c r="F574" s="8"/>
      <c r="G574" s="2"/>
    </row>
    <row r="575" spans="1:7" x14ac:dyDescent="0.3">
      <c r="A575" s="177" t="s">
        <v>300</v>
      </c>
      <c r="B575" s="178"/>
      <c r="C575" s="22"/>
      <c r="D575" s="48"/>
      <c r="E575" s="176" t="s">
        <v>301</v>
      </c>
      <c r="F575" s="8"/>
      <c r="G575" s="2"/>
    </row>
    <row r="576" spans="1:7" x14ac:dyDescent="0.3">
      <c r="A576" s="177"/>
      <c r="B576" s="178"/>
      <c r="C576" s="22"/>
      <c r="D576" s="48"/>
      <c r="F576" s="6"/>
      <c r="G576" s="2"/>
    </row>
    <row r="577" spans="1:7" x14ac:dyDescent="0.3">
      <c r="A577" s="182" t="s">
        <v>316</v>
      </c>
      <c r="B577" s="178"/>
      <c r="C577" s="22"/>
      <c r="D577" s="48"/>
      <c r="F577" s="6"/>
      <c r="G577" s="2"/>
    </row>
    <row r="578" spans="1:7" ht="28.8" customHeight="1" x14ac:dyDescent="0.3">
      <c r="A578" s="577" t="s">
        <v>302</v>
      </c>
      <c r="B578" s="579"/>
      <c r="C578" s="22"/>
      <c r="D578" s="48"/>
      <c r="E578" t="s">
        <v>318</v>
      </c>
      <c r="F578" s="179"/>
      <c r="G578" s="225" t="s">
        <v>375</v>
      </c>
    </row>
    <row r="579" spans="1:7" ht="43.2" x14ac:dyDescent="0.3">
      <c r="A579" s="652" t="s">
        <v>304</v>
      </c>
      <c r="B579" s="653"/>
      <c r="C579" s="22"/>
      <c r="D579" s="48"/>
      <c r="E579" t="s">
        <v>318</v>
      </c>
      <c r="F579" s="209">
        <v>45425</v>
      </c>
      <c r="G579" s="225" t="s">
        <v>377</v>
      </c>
    </row>
    <row r="580" spans="1:7" ht="28.8" x14ac:dyDescent="0.3">
      <c r="A580" s="177" t="s">
        <v>306</v>
      </c>
      <c r="B580" s="178"/>
      <c r="C580" s="22"/>
      <c r="D580" s="48" t="s">
        <v>318</v>
      </c>
      <c r="E580" t="s">
        <v>387</v>
      </c>
      <c r="F580" s="179"/>
      <c r="G580" s="24" t="s">
        <v>376</v>
      </c>
    </row>
    <row r="581" spans="1:7" x14ac:dyDescent="0.3">
      <c r="A581" s="47"/>
      <c r="B581" s="178"/>
      <c r="C581" s="22"/>
      <c r="D581" s="48"/>
      <c r="F581" s="6"/>
      <c r="G581" s="2"/>
    </row>
    <row r="582" spans="1:7" x14ac:dyDescent="0.3">
      <c r="A582" s="47" t="s">
        <v>308</v>
      </c>
      <c r="B582" s="178"/>
      <c r="C582" s="22"/>
      <c r="D582" s="48"/>
      <c r="F582" s="6"/>
      <c r="G582" s="2" t="s">
        <v>42</v>
      </c>
    </row>
    <row r="583" spans="1:7" ht="15" thickBot="1" x14ac:dyDescent="0.35">
      <c r="A583" s="1"/>
      <c r="B583" s="178"/>
      <c r="C583" s="22"/>
      <c r="D583" s="48"/>
      <c r="F583" s="6"/>
      <c r="G583" s="2"/>
    </row>
    <row r="584" spans="1:7" x14ac:dyDescent="0.3">
      <c r="A584" s="65" t="s">
        <v>9</v>
      </c>
      <c r="B584" s="164"/>
      <c r="C584" s="61" t="s">
        <v>212</v>
      </c>
      <c r="D584" s="66"/>
      <c r="E584" s="66"/>
      <c r="F584" s="67"/>
      <c r="G584" s="68"/>
    </row>
    <row r="585" spans="1:7" x14ac:dyDescent="0.3">
      <c r="A585" s="1"/>
      <c r="C585" s="22"/>
      <c r="F585" s="6"/>
      <c r="G585" s="2"/>
    </row>
    <row r="586" spans="1:7" x14ac:dyDescent="0.3">
      <c r="A586" s="1"/>
      <c r="C586" s="22"/>
      <c r="F586" s="6"/>
      <c r="G586" s="2"/>
    </row>
    <row r="587" spans="1:7" x14ac:dyDescent="0.3">
      <c r="A587" s="1"/>
      <c r="C587" s="22"/>
      <c r="F587" s="6"/>
      <c r="G587" s="2"/>
    </row>
    <row r="588" spans="1:7" ht="17.399999999999999" customHeight="1" x14ac:dyDescent="0.3">
      <c r="A588" s="1"/>
      <c r="C588" s="22"/>
      <c r="F588" s="6"/>
      <c r="G588" s="2"/>
    </row>
    <row r="589" spans="1:7" ht="16.8" customHeight="1" thickBot="1" x14ac:dyDescent="0.35">
      <c r="A589" s="3"/>
      <c r="B589" s="4"/>
      <c r="C589" s="23"/>
      <c r="D589" s="4"/>
      <c r="E589" s="4"/>
      <c r="F589" s="7"/>
      <c r="G589" s="5"/>
    </row>
    <row r="591" spans="1:7" x14ac:dyDescent="0.3">
      <c r="A591" s="1"/>
      <c r="C591" s="22"/>
      <c r="F591" s="46"/>
      <c r="G591" s="2"/>
    </row>
    <row r="593" spans="1:7" ht="28.8" x14ac:dyDescent="0.3">
      <c r="A593" s="596" t="s">
        <v>7</v>
      </c>
      <c r="B593" s="596"/>
      <c r="C593" s="596"/>
      <c r="D593" s="596"/>
      <c r="E593" s="596"/>
      <c r="F593" s="596"/>
      <c r="G593" s="596"/>
    </row>
    <row r="594" spans="1:7" ht="28.8" x14ac:dyDescent="0.3">
      <c r="A594" s="150"/>
      <c r="B594" s="150"/>
      <c r="C594" s="150"/>
      <c r="D594" s="150"/>
      <c r="E594" s="150"/>
      <c r="F594" s="150"/>
      <c r="G594" s="150"/>
    </row>
    <row r="595" spans="1:7" ht="21.6" thickBot="1" x14ac:dyDescent="0.45">
      <c r="A595" s="642" t="s">
        <v>405</v>
      </c>
      <c r="B595" s="597"/>
      <c r="C595" s="642"/>
      <c r="D595" s="642"/>
      <c r="E595" s="642"/>
      <c r="F595" s="642"/>
      <c r="G595" s="642"/>
    </row>
    <row r="596" spans="1:7" ht="18.600000000000001" thickBot="1" x14ac:dyDescent="0.35">
      <c r="A596" s="20" t="s">
        <v>235</v>
      </c>
      <c r="B596" s="258" t="s">
        <v>34</v>
      </c>
      <c r="C596" s="21" t="s">
        <v>1</v>
      </c>
      <c r="D596" s="598" t="s">
        <v>4</v>
      </c>
      <c r="E596" s="599"/>
      <c r="F596" s="21" t="s">
        <v>2</v>
      </c>
      <c r="G596" s="19" t="s">
        <v>3</v>
      </c>
    </row>
    <row r="597" spans="1:7" x14ac:dyDescent="0.3">
      <c r="A597" s="219" t="s">
        <v>237</v>
      </c>
      <c r="B597" s="164"/>
      <c r="C597" s="61" t="s">
        <v>208</v>
      </c>
      <c r="D597" s="62"/>
      <c r="E597" s="62"/>
      <c r="F597" s="63"/>
      <c r="G597" s="64"/>
    </row>
    <row r="598" spans="1:7" ht="14.4" customHeight="1" x14ac:dyDescent="0.3">
      <c r="A598" s="13" t="s">
        <v>247</v>
      </c>
      <c r="B598" s="169" t="s">
        <v>248</v>
      </c>
      <c r="C598" s="72" t="s">
        <v>388</v>
      </c>
      <c r="D598" s="634" t="s">
        <v>389</v>
      </c>
      <c r="E598" s="635"/>
      <c r="F598" s="191">
        <v>45429</v>
      </c>
      <c r="G598" s="71"/>
    </row>
    <row r="599" spans="1:7" ht="14.4" customHeight="1" x14ac:dyDescent="0.3">
      <c r="A599" s="175" t="s">
        <v>240</v>
      </c>
      <c r="B599" s="174" t="s">
        <v>234</v>
      </c>
      <c r="C599" s="69"/>
      <c r="D599" s="621" t="s">
        <v>259</v>
      </c>
      <c r="E599" s="622"/>
      <c r="F599" s="70"/>
      <c r="G599" s="192" t="s">
        <v>390</v>
      </c>
    </row>
    <row r="600" spans="1:7" x14ac:dyDescent="0.3">
      <c r="A600" s="175" t="s">
        <v>228</v>
      </c>
      <c r="B600" s="174" t="e">
        <f>#REF!</f>
        <v>#REF!</v>
      </c>
      <c r="C600" s="69"/>
      <c r="D600" s="197" t="s">
        <v>429</v>
      </c>
      <c r="E600" s="198"/>
      <c r="F600" s="70"/>
      <c r="G600" s="192"/>
    </row>
    <row r="601" spans="1:7" ht="14.4" customHeight="1" x14ac:dyDescent="0.3">
      <c r="A601" s="1" t="s">
        <v>241</v>
      </c>
      <c r="B601" t="s">
        <v>249</v>
      </c>
      <c r="C601" s="6"/>
      <c r="D601" s="612" t="s">
        <v>262</v>
      </c>
      <c r="E601" s="613"/>
      <c r="F601" s="6"/>
      <c r="G601" s="659" t="s">
        <v>336</v>
      </c>
    </row>
    <row r="602" spans="1:7" ht="14.4" customHeight="1" x14ac:dyDescent="0.3">
      <c r="A602" s="186" t="s">
        <v>370</v>
      </c>
      <c r="B602" t="s">
        <v>249</v>
      </c>
      <c r="C602" s="6"/>
      <c r="D602" s="612" t="s">
        <v>397</v>
      </c>
      <c r="E602" s="613"/>
      <c r="F602" s="46">
        <v>45434</v>
      </c>
      <c r="G602" s="650"/>
    </row>
    <row r="603" spans="1:7" ht="14.4" customHeight="1" x14ac:dyDescent="0.3">
      <c r="A603" s="186" t="s">
        <v>323</v>
      </c>
      <c r="B603" s="81" t="s">
        <v>250</v>
      </c>
      <c r="C603" s="22"/>
      <c r="D603" s="612" t="s">
        <v>391</v>
      </c>
      <c r="E603" s="613"/>
      <c r="F603" s="46"/>
      <c r="G603" s="650"/>
    </row>
    <row r="604" spans="1:7" x14ac:dyDescent="0.3">
      <c r="A604" s="1" t="s">
        <v>335</v>
      </c>
      <c r="B604" t="s">
        <v>337</v>
      </c>
      <c r="C604" s="6"/>
      <c r="D604" s="612" t="s">
        <v>406</v>
      </c>
      <c r="E604" s="613"/>
      <c r="F604" s="6"/>
      <c r="G604" s="650"/>
    </row>
    <row r="605" spans="1:7" ht="14.4" customHeight="1" x14ac:dyDescent="0.3">
      <c r="A605" s="1" t="s">
        <v>242</v>
      </c>
      <c r="B605" t="s">
        <v>324</v>
      </c>
      <c r="C605" s="6"/>
      <c r="D605" s="612" t="s">
        <v>261</v>
      </c>
      <c r="E605" s="613"/>
      <c r="F605" s="6"/>
      <c r="G605" s="220" t="s">
        <v>399</v>
      </c>
    </row>
    <row r="606" spans="1:7" x14ac:dyDescent="0.3">
      <c r="A606" s="13" t="s">
        <v>320</v>
      </c>
      <c r="B606" s="169" t="s">
        <v>338</v>
      </c>
      <c r="C606" s="193"/>
      <c r="D606" s="634" t="s">
        <v>392</v>
      </c>
      <c r="E606" s="635"/>
      <c r="F606" s="191"/>
      <c r="G606" s="221" t="s">
        <v>400</v>
      </c>
    </row>
    <row r="607" spans="1:7" x14ac:dyDescent="0.3">
      <c r="A607" s="175" t="s">
        <v>263</v>
      </c>
      <c r="B607" s="174" t="s">
        <v>264</v>
      </c>
      <c r="C607" s="194"/>
      <c r="D607" s="195" t="s">
        <v>402</v>
      </c>
      <c r="E607" s="174"/>
      <c r="F607" s="69"/>
      <c r="G607" s="192"/>
    </row>
    <row r="608" spans="1:7" ht="14.4" customHeight="1" x14ac:dyDescent="0.3">
      <c r="A608" s="175" t="s">
        <v>243</v>
      </c>
      <c r="B608" s="174" t="s">
        <v>251</v>
      </c>
      <c r="C608" s="69"/>
      <c r="D608" s="621" t="s">
        <v>262</v>
      </c>
      <c r="E608" s="622"/>
      <c r="F608" s="69"/>
      <c r="G608" s="223" t="s">
        <v>403</v>
      </c>
    </row>
    <row r="609" spans="1:7" x14ac:dyDescent="0.3">
      <c r="A609" s="175" t="s">
        <v>332</v>
      </c>
      <c r="B609" s="174" t="s">
        <v>393</v>
      </c>
      <c r="C609" s="194" t="s">
        <v>334</v>
      </c>
      <c r="D609" s="196" t="s">
        <v>394</v>
      </c>
      <c r="E609" s="196"/>
      <c r="F609" s="70"/>
      <c r="G609" s="192" t="s">
        <v>395</v>
      </c>
    </row>
    <row r="610" spans="1:7" x14ac:dyDescent="0.3">
      <c r="A610" s="1" t="s">
        <v>348</v>
      </c>
      <c r="B610" t="e">
        <f>#REF!</f>
        <v>#REF!</v>
      </c>
      <c r="C610" s="22"/>
      <c r="D610" s="185"/>
      <c r="E610" s="185"/>
      <c r="F610" s="46"/>
      <c r="G610" s="2" t="s">
        <v>404</v>
      </c>
    </row>
    <row r="611" spans="1:7" s="69" customFormat="1" ht="28.8" x14ac:dyDescent="0.3">
      <c r="A611" s="137" t="s">
        <v>416</v>
      </c>
      <c r="B611" s="69" t="s">
        <v>417</v>
      </c>
      <c r="C611" s="194" t="s">
        <v>388</v>
      </c>
      <c r="D611" s="621" t="s">
        <v>418</v>
      </c>
      <c r="E611" s="622"/>
      <c r="F611" s="70"/>
    </row>
    <row r="612" spans="1:7" ht="15" thickBot="1" x14ac:dyDescent="0.35">
      <c r="A612" s="47"/>
      <c r="B612" s="163"/>
      <c r="C612" s="22"/>
      <c r="D612" s="48"/>
      <c r="F612" s="46"/>
      <c r="G612" s="2"/>
    </row>
    <row r="613" spans="1:7" x14ac:dyDescent="0.3">
      <c r="A613" s="60" t="s">
        <v>238</v>
      </c>
      <c r="B613" s="162"/>
      <c r="C613" s="61" t="s">
        <v>211</v>
      </c>
      <c r="D613" s="62"/>
      <c r="E613" s="62"/>
      <c r="F613" s="63"/>
      <c r="G613" s="64"/>
    </row>
    <row r="614" spans="1:7" x14ac:dyDescent="0.3">
      <c r="A614" s="1" t="s">
        <v>346</v>
      </c>
      <c r="B614" t="s">
        <v>234</v>
      </c>
      <c r="C614" s="22"/>
      <c r="D614" s="2" t="s">
        <v>340</v>
      </c>
      <c r="F614" s="6"/>
      <c r="G614" s="2" t="s">
        <v>347</v>
      </c>
    </row>
    <row r="615" spans="1:7" x14ac:dyDescent="0.3">
      <c r="A615" s="47" t="s">
        <v>263</v>
      </c>
      <c r="B615" t="s">
        <v>264</v>
      </c>
      <c r="C615" s="22"/>
      <c r="D615" s="48" t="s">
        <v>311</v>
      </c>
      <c r="F615" s="6" t="s">
        <v>312</v>
      </c>
      <c r="G615" s="2" t="s">
        <v>329</v>
      </c>
    </row>
    <row r="616" spans="1:7" ht="14.4" customHeight="1" x14ac:dyDescent="0.3">
      <c r="A616" s="47" t="s">
        <v>335</v>
      </c>
      <c r="B616" t="s">
        <v>337</v>
      </c>
      <c r="C616" s="22"/>
      <c r="D616" s="48" t="s">
        <v>372</v>
      </c>
      <c r="F616" s="6"/>
      <c r="G616" s="2" t="s">
        <v>374</v>
      </c>
    </row>
    <row r="617" spans="1:7" x14ac:dyDescent="0.3">
      <c r="A617" s="218" t="s">
        <v>323</v>
      </c>
      <c r="B617" s="81" t="s">
        <v>324</v>
      </c>
      <c r="C617" s="22"/>
      <c r="D617" s="612" t="s">
        <v>327</v>
      </c>
      <c r="E617" s="613"/>
      <c r="F617" s="6" t="s">
        <v>328</v>
      </c>
      <c r="G617" s="2" t="s">
        <v>42</v>
      </c>
    </row>
    <row r="618" spans="1:7" x14ac:dyDescent="0.3">
      <c r="A618" s="218" t="s">
        <v>370</v>
      </c>
      <c r="B618" t="s">
        <v>249</v>
      </c>
      <c r="C618" s="22"/>
      <c r="D618" s="612" t="s">
        <v>407</v>
      </c>
      <c r="E618" s="613"/>
      <c r="F618" s="6" t="s">
        <v>408</v>
      </c>
      <c r="G618" s="2" t="s">
        <v>371</v>
      </c>
    </row>
    <row r="619" spans="1:7" ht="14.4" customHeight="1" x14ac:dyDescent="0.3">
      <c r="A619" s="222" t="s">
        <v>320</v>
      </c>
      <c r="B619" s="169" t="s">
        <v>338</v>
      </c>
      <c r="C619" s="193"/>
      <c r="D619" s="634" t="s">
        <v>401</v>
      </c>
      <c r="E619" s="635"/>
      <c r="F619" s="191"/>
      <c r="G619" s="221" t="s">
        <v>400</v>
      </c>
    </row>
    <row r="620" spans="1:7" x14ac:dyDescent="0.3">
      <c r="A620" s="186" t="s">
        <v>341</v>
      </c>
      <c r="B620" s="81" t="s">
        <v>343</v>
      </c>
      <c r="C620" s="22"/>
      <c r="D620" s="612" t="s">
        <v>342</v>
      </c>
      <c r="E620" s="613"/>
      <c r="F620" s="6" t="s">
        <v>369</v>
      </c>
      <c r="G620" s="2" t="s">
        <v>233</v>
      </c>
    </row>
    <row r="621" spans="1:7" x14ac:dyDescent="0.3">
      <c r="A621" s="186" t="s">
        <v>428</v>
      </c>
      <c r="B621" s="81"/>
      <c r="C621" s="22"/>
      <c r="D621" s="185"/>
      <c r="E621" s="185"/>
      <c r="F621" s="6"/>
      <c r="G621" s="2" t="s">
        <v>347</v>
      </c>
    </row>
    <row r="622" spans="1:7" x14ac:dyDescent="0.3">
      <c r="A622" s="47" t="s">
        <v>246</v>
      </c>
      <c r="B622" s="163"/>
      <c r="C622" s="22"/>
      <c r="D622" s="48"/>
      <c r="F622" s="6" t="s">
        <v>408</v>
      </c>
      <c r="G622" s="187" t="s">
        <v>42</v>
      </c>
    </row>
    <row r="623" spans="1:7" x14ac:dyDescent="0.3">
      <c r="A623" s="47"/>
      <c r="B623" s="163"/>
      <c r="C623" s="22"/>
      <c r="D623" s="48"/>
      <c r="F623" s="6"/>
      <c r="G623" s="2"/>
    </row>
    <row r="624" spans="1:7" ht="15" thickBot="1" x14ac:dyDescent="0.35">
      <c r="A624" s="188"/>
      <c r="B624" s="189"/>
      <c r="C624" s="23"/>
      <c r="D624" s="190"/>
      <c r="E624" s="4"/>
      <c r="F624" s="7"/>
      <c r="G624" s="5"/>
    </row>
    <row r="625" spans="1:7" ht="15" thickBot="1" x14ac:dyDescent="0.35">
      <c r="A625" s="60" t="s">
        <v>236</v>
      </c>
      <c r="B625" s="162"/>
      <c r="C625" s="61" t="s">
        <v>239</v>
      </c>
      <c r="D625" s="62"/>
      <c r="E625" s="62"/>
      <c r="F625" s="63"/>
      <c r="G625" s="64"/>
    </row>
    <row r="626" spans="1:7" x14ac:dyDescent="0.3">
      <c r="A626" s="259" t="s">
        <v>309</v>
      </c>
      <c r="B626" s="260"/>
      <c r="C626" s="261"/>
      <c r="D626" s="261" t="s">
        <v>269</v>
      </c>
      <c r="E626" s="262"/>
      <c r="F626" s="262"/>
      <c r="G626" s="262" t="s">
        <v>378</v>
      </c>
    </row>
    <row r="627" spans="1:7" ht="30.6" x14ac:dyDescent="0.3">
      <c r="A627" s="267" t="s">
        <v>270</v>
      </c>
      <c r="B627" s="141"/>
      <c r="C627" s="263"/>
      <c r="D627" s="264"/>
      <c r="E627" s="265"/>
      <c r="F627" s="265"/>
      <c r="G627" s="268" t="s">
        <v>427</v>
      </c>
    </row>
    <row r="628" spans="1:7" x14ac:dyDescent="0.3">
      <c r="A628" s="267" t="s">
        <v>276</v>
      </c>
      <c r="B628" s="141"/>
      <c r="C628" s="263"/>
      <c r="D628" s="263" t="s">
        <v>380</v>
      </c>
      <c r="E628" s="265" t="s">
        <v>381</v>
      </c>
      <c r="F628" s="265" t="s">
        <v>382</v>
      </c>
      <c r="G628" s="269" t="s">
        <v>383</v>
      </c>
    </row>
    <row r="629" spans="1:7" x14ac:dyDescent="0.3">
      <c r="A629" s="267" t="s">
        <v>277</v>
      </c>
      <c r="B629" s="141"/>
      <c r="C629" s="263"/>
      <c r="D629" s="263" t="s">
        <v>278</v>
      </c>
      <c r="E629" s="265" t="s">
        <v>384</v>
      </c>
      <c r="F629" s="265" t="s">
        <v>369</v>
      </c>
      <c r="G629" s="269" t="s">
        <v>385</v>
      </c>
    </row>
    <row r="630" spans="1:7" x14ac:dyDescent="0.3">
      <c r="A630" s="267" t="s">
        <v>280</v>
      </c>
      <c r="B630" s="141"/>
      <c r="C630" s="263"/>
      <c r="D630" s="263" t="s">
        <v>281</v>
      </c>
      <c r="E630" s="265" t="s">
        <v>282</v>
      </c>
      <c r="F630" s="265"/>
      <c r="G630" s="269" t="s">
        <v>409</v>
      </c>
    </row>
    <row r="631" spans="1:7" ht="28.8" x14ac:dyDescent="0.3">
      <c r="A631" s="267" t="s">
        <v>424</v>
      </c>
      <c r="B631" s="141"/>
      <c r="C631" s="263"/>
      <c r="D631" s="263"/>
      <c r="E631" s="265"/>
      <c r="F631" s="265" t="s">
        <v>425</v>
      </c>
      <c r="G631" s="268" t="s">
        <v>426</v>
      </c>
    </row>
    <row r="632" spans="1:7" x14ac:dyDescent="0.3">
      <c r="A632" s="226"/>
      <c r="B632" s="227"/>
      <c r="C632" s="228"/>
      <c r="D632" s="229"/>
      <c r="E632" s="230"/>
      <c r="F632" s="231"/>
      <c r="G632" s="232"/>
    </row>
    <row r="633" spans="1:7" x14ac:dyDescent="0.3">
      <c r="A633" s="233" t="s">
        <v>289</v>
      </c>
      <c r="B633" s="227"/>
      <c r="C633" s="228"/>
      <c r="D633" s="229"/>
      <c r="E633" s="230"/>
      <c r="F633" s="231"/>
      <c r="G633" s="232"/>
    </row>
    <row r="634" spans="1:7" ht="17.399999999999999" customHeight="1" x14ac:dyDescent="0.3">
      <c r="A634" s="226" t="s">
        <v>284</v>
      </c>
      <c r="B634" s="227"/>
      <c r="C634" s="228"/>
      <c r="D634" s="229"/>
      <c r="E634" s="230"/>
      <c r="F634" s="231"/>
      <c r="G634" s="232"/>
    </row>
    <row r="635" spans="1:7" ht="16.8" customHeight="1" x14ac:dyDescent="0.3">
      <c r="A635" s="226" t="s">
        <v>285</v>
      </c>
      <c r="B635" s="227"/>
      <c r="C635" s="228"/>
      <c r="D635" s="229"/>
      <c r="E635" s="230"/>
      <c r="F635" s="231"/>
      <c r="G635" s="232"/>
    </row>
    <row r="636" spans="1:7" x14ac:dyDescent="0.3">
      <c r="A636" s="226" t="s">
        <v>286</v>
      </c>
      <c r="B636" s="227"/>
      <c r="C636" s="228"/>
      <c r="D636" s="229"/>
      <c r="E636" s="230"/>
      <c r="F636" s="231"/>
      <c r="G636" s="232"/>
    </row>
    <row r="637" spans="1:7" x14ac:dyDescent="0.3">
      <c r="A637" s="226" t="s">
        <v>287</v>
      </c>
      <c r="B637" s="227"/>
      <c r="C637" s="228"/>
      <c r="D637" s="229"/>
      <c r="E637" s="230"/>
      <c r="F637" s="231"/>
      <c r="G637" s="232"/>
    </row>
    <row r="638" spans="1:7" ht="14.4" customHeight="1" x14ac:dyDescent="0.3">
      <c r="A638" s="226" t="s">
        <v>288</v>
      </c>
      <c r="B638" s="227"/>
      <c r="C638" s="228"/>
      <c r="D638" s="229"/>
      <c r="E638" s="230"/>
      <c r="F638" s="231"/>
      <c r="G638" s="232"/>
    </row>
    <row r="639" spans="1:7" x14ac:dyDescent="0.3">
      <c r="A639" s="640" t="s">
        <v>290</v>
      </c>
      <c r="B639" s="641"/>
      <c r="C639" s="228"/>
      <c r="D639" s="229"/>
      <c r="E639" s="230"/>
      <c r="F639" s="231"/>
      <c r="G639" s="232"/>
    </row>
    <row r="640" spans="1:7" x14ac:dyDescent="0.3">
      <c r="A640" s="234" t="s">
        <v>291</v>
      </c>
      <c r="B640" s="235"/>
      <c r="C640" s="228"/>
      <c r="D640" s="229"/>
      <c r="E640" s="236">
        <v>45382</v>
      </c>
      <c r="F640" s="231"/>
      <c r="G640" s="232" t="s">
        <v>295</v>
      </c>
    </row>
    <row r="641" spans="1:7" x14ac:dyDescent="0.3">
      <c r="A641" s="234" t="s">
        <v>292</v>
      </c>
      <c r="B641" s="235"/>
      <c r="C641" s="228"/>
      <c r="D641" s="229"/>
      <c r="E641" s="236">
        <v>45397</v>
      </c>
      <c r="F641" s="231"/>
      <c r="G641" s="232" t="s">
        <v>42</v>
      </c>
    </row>
    <row r="642" spans="1:7" x14ac:dyDescent="0.3">
      <c r="A642" s="234" t="s">
        <v>293</v>
      </c>
      <c r="B642" s="235"/>
      <c r="C642" s="228"/>
      <c r="D642" s="229"/>
      <c r="E642" s="236">
        <v>45397</v>
      </c>
      <c r="F642" s="231"/>
      <c r="G642" s="232" t="s">
        <v>410</v>
      </c>
    </row>
    <row r="643" spans="1:7" x14ac:dyDescent="0.3">
      <c r="A643" s="234" t="s">
        <v>294</v>
      </c>
      <c r="B643" s="235"/>
      <c r="C643" s="228"/>
      <c r="D643" s="229"/>
      <c r="E643" s="236">
        <v>45412</v>
      </c>
      <c r="F643" s="231"/>
      <c r="G643" s="232" t="s">
        <v>411</v>
      </c>
    </row>
    <row r="644" spans="1:7" ht="14.4" customHeight="1" x14ac:dyDescent="0.3">
      <c r="A644" s="237"/>
      <c r="B644" s="235"/>
      <c r="C644" s="228"/>
      <c r="D644" s="229"/>
      <c r="E644" s="230"/>
      <c r="F644" s="231"/>
      <c r="G644" s="232"/>
    </row>
    <row r="645" spans="1:7" ht="14.4" customHeight="1" x14ac:dyDescent="0.3">
      <c r="A645" s="606" t="s">
        <v>297</v>
      </c>
      <c r="B645" s="602"/>
      <c r="C645" s="228"/>
      <c r="D645" s="229"/>
      <c r="E645" s="238">
        <v>45393</v>
      </c>
      <c r="F645" s="239"/>
      <c r="G645" s="232" t="s">
        <v>412</v>
      </c>
    </row>
    <row r="646" spans="1:7" ht="14.4" customHeight="1" x14ac:dyDescent="0.3">
      <c r="A646" s="606" t="s">
        <v>298</v>
      </c>
      <c r="B646" s="602"/>
      <c r="C646" s="228"/>
      <c r="D646" s="229"/>
      <c r="E646" s="238">
        <v>45394</v>
      </c>
      <c r="F646" s="239"/>
      <c r="G646" s="232"/>
    </row>
    <row r="647" spans="1:7" x14ac:dyDescent="0.3">
      <c r="A647" s="606" t="s">
        <v>299</v>
      </c>
      <c r="B647" s="602"/>
      <c r="C647" s="228"/>
      <c r="D647" s="229"/>
      <c r="E647" s="240" t="s">
        <v>301</v>
      </c>
      <c r="F647" s="239"/>
      <c r="G647" s="232"/>
    </row>
    <row r="648" spans="1:7" x14ac:dyDescent="0.3">
      <c r="A648" s="241" t="s">
        <v>300</v>
      </c>
      <c r="B648" s="235"/>
      <c r="C648" s="228"/>
      <c r="D648" s="229"/>
      <c r="E648" s="240" t="s">
        <v>301</v>
      </c>
      <c r="F648" s="239"/>
      <c r="G648" s="232"/>
    </row>
    <row r="649" spans="1:7" x14ac:dyDescent="0.3">
      <c r="A649" s="241"/>
      <c r="B649" s="235"/>
      <c r="C649" s="228"/>
      <c r="D649" s="229"/>
      <c r="E649" s="230"/>
      <c r="F649" s="231"/>
      <c r="G649" s="232"/>
    </row>
    <row r="650" spans="1:7" ht="14.4" customHeight="1" x14ac:dyDescent="0.3">
      <c r="A650" s="242" t="s">
        <v>316</v>
      </c>
      <c r="B650" s="235"/>
      <c r="C650" s="228"/>
      <c r="D650" s="229"/>
      <c r="E650" s="230"/>
      <c r="F650" s="231"/>
      <c r="G650" s="232"/>
    </row>
    <row r="651" spans="1:7" x14ac:dyDescent="0.3">
      <c r="A651" s="636" t="s">
        <v>302</v>
      </c>
      <c r="B651" s="637"/>
      <c r="C651" s="228"/>
      <c r="D651" s="229"/>
      <c r="E651" s="230" t="s">
        <v>318</v>
      </c>
      <c r="F651" s="243"/>
      <c r="G651" s="244" t="s">
        <v>375</v>
      </c>
    </row>
    <row r="652" spans="1:7" ht="43.2" x14ac:dyDescent="0.3">
      <c r="A652" s="606" t="s">
        <v>304</v>
      </c>
      <c r="B652" s="602"/>
      <c r="C652" s="228"/>
      <c r="D652" s="229"/>
      <c r="E652" s="230" t="s">
        <v>318</v>
      </c>
      <c r="F652" s="245">
        <v>45425</v>
      </c>
      <c r="G652" s="244" t="s">
        <v>377</v>
      </c>
    </row>
    <row r="653" spans="1:7" ht="28.8" x14ac:dyDescent="0.3">
      <c r="A653" s="241" t="s">
        <v>306</v>
      </c>
      <c r="B653" s="235"/>
      <c r="C653" s="228"/>
      <c r="D653" s="229" t="s">
        <v>318</v>
      </c>
      <c r="E653" s="230" t="s">
        <v>387</v>
      </c>
      <c r="F653" s="243"/>
      <c r="G653" s="246" t="s">
        <v>413</v>
      </c>
    </row>
    <row r="654" spans="1:7" x14ac:dyDescent="0.3">
      <c r="A654" s="226"/>
      <c r="B654" s="235"/>
      <c r="C654" s="228"/>
      <c r="D654" s="229"/>
      <c r="E654" s="230"/>
      <c r="F654" s="231"/>
      <c r="G654" s="232"/>
    </row>
    <row r="655" spans="1:7" x14ac:dyDescent="0.3">
      <c r="A655" s="237" t="s">
        <v>414</v>
      </c>
      <c r="B655" s="230"/>
      <c r="C655" s="231"/>
      <c r="D655" s="230"/>
      <c r="E655" s="230"/>
      <c r="F655" s="231"/>
      <c r="G655" s="232"/>
    </row>
    <row r="656" spans="1:7" x14ac:dyDescent="0.3">
      <c r="A656" s="237" t="s">
        <v>419</v>
      </c>
      <c r="B656" s="230"/>
      <c r="C656" s="231"/>
      <c r="D656" s="230"/>
      <c r="E656" s="230"/>
      <c r="F656" s="247">
        <v>45434</v>
      </c>
      <c r="G656" s="232"/>
    </row>
    <row r="657" spans="1:7" x14ac:dyDescent="0.3">
      <c r="A657" s="237" t="s">
        <v>415</v>
      </c>
      <c r="B657" s="230"/>
      <c r="C657" s="231"/>
      <c r="D657" s="230"/>
      <c r="E657" s="230"/>
      <c r="F657" s="231"/>
      <c r="G657" s="232"/>
    </row>
    <row r="658" spans="1:7" x14ac:dyDescent="0.3">
      <c r="A658" s="237" t="s">
        <v>420</v>
      </c>
      <c r="B658" s="230"/>
      <c r="C658" s="231"/>
      <c r="D658" s="230"/>
      <c r="E658" s="230"/>
      <c r="F658" s="231"/>
      <c r="G658" s="232"/>
    </row>
    <row r="659" spans="1:7" x14ac:dyDescent="0.3">
      <c r="A659" s="237" t="s">
        <v>421</v>
      </c>
      <c r="B659" s="230"/>
      <c r="C659" s="231"/>
      <c r="D659" s="230"/>
      <c r="E659" s="230"/>
      <c r="F659" s="231"/>
      <c r="G659" s="232"/>
    </row>
    <row r="660" spans="1:7" x14ac:dyDescent="0.3">
      <c r="A660" s="237"/>
      <c r="B660" s="230"/>
      <c r="C660" s="231"/>
      <c r="D660" s="230"/>
      <c r="E660" s="230"/>
      <c r="F660" s="231"/>
      <c r="G660" s="232"/>
    </row>
    <row r="661" spans="1:7" x14ac:dyDescent="0.3">
      <c r="A661" s="237" t="s">
        <v>422</v>
      </c>
      <c r="B661" s="230"/>
      <c r="C661" s="231"/>
      <c r="D661" s="230"/>
      <c r="E661" s="230"/>
      <c r="F661" s="247">
        <v>45434</v>
      </c>
      <c r="G661" s="232"/>
    </row>
    <row r="662" spans="1:7" x14ac:dyDescent="0.3">
      <c r="A662" s="237"/>
      <c r="B662" s="230"/>
      <c r="C662" s="231"/>
      <c r="D662" s="230"/>
      <c r="E662" s="230"/>
      <c r="F662" s="231"/>
      <c r="G662" s="232"/>
    </row>
    <row r="663" spans="1:7" x14ac:dyDescent="0.3">
      <c r="A663" s="237" t="s">
        <v>423</v>
      </c>
      <c r="B663" s="230"/>
      <c r="C663" s="231"/>
      <c r="D663" s="230"/>
      <c r="E663" s="230"/>
      <c r="F663" s="247">
        <v>45435</v>
      </c>
      <c r="G663" s="232"/>
    </row>
    <row r="664" spans="1:7" ht="15" thickBot="1" x14ac:dyDescent="0.35">
      <c r="A664" s="253"/>
      <c r="B664" s="270"/>
      <c r="C664" s="255"/>
      <c r="D664" s="271"/>
      <c r="E664" s="254"/>
      <c r="F664" s="256"/>
      <c r="G664" s="257"/>
    </row>
    <row r="665" spans="1:7" x14ac:dyDescent="0.3">
      <c r="A665" s="248" t="s">
        <v>9</v>
      </c>
      <c r="B665" s="249"/>
      <c r="C665" s="266" t="s">
        <v>212</v>
      </c>
      <c r="D665" s="250"/>
      <c r="E665" s="250"/>
      <c r="F665" s="251"/>
      <c r="G665" s="252"/>
    </row>
    <row r="666" spans="1:7" x14ac:dyDescent="0.3">
      <c r="A666" s="226" t="s">
        <v>308</v>
      </c>
      <c r="B666" s="235"/>
      <c r="C666" s="228"/>
      <c r="D666" s="229"/>
      <c r="E666" s="230"/>
      <c r="F666" s="231"/>
      <c r="G666" s="232" t="s">
        <v>42</v>
      </c>
    </row>
    <row r="667" spans="1:7" x14ac:dyDescent="0.3">
      <c r="A667" s="237"/>
      <c r="B667" s="230"/>
      <c r="C667" s="228"/>
      <c r="D667" s="230"/>
      <c r="E667" s="230"/>
      <c r="F667" s="231"/>
      <c r="G667" s="232"/>
    </row>
    <row r="668" spans="1:7" x14ac:dyDescent="0.3">
      <c r="A668" s="237"/>
      <c r="B668" s="230"/>
      <c r="C668" s="228"/>
      <c r="D668" s="230"/>
      <c r="E668" s="230"/>
      <c r="F668" s="231"/>
      <c r="G668" s="232"/>
    </row>
    <row r="669" spans="1:7" x14ac:dyDescent="0.3">
      <c r="A669" s="237">
        <v>4</v>
      </c>
      <c r="B669" s="230"/>
      <c r="C669" s="228"/>
      <c r="D669" s="230"/>
      <c r="E669" s="230"/>
      <c r="F669" s="231"/>
      <c r="G669" s="232"/>
    </row>
    <row r="670" spans="1:7" ht="15" thickBot="1" x14ac:dyDescent="0.35">
      <c r="A670" s="253"/>
      <c r="B670" s="254"/>
      <c r="C670" s="255"/>
      <c r="D670" s="254"/>
      <c r="E670" s="254"/>
      <c r="F670" s="256"/>
      <c r="G670" s="257"/>
    </row>
    <row r="673" spans="1:7" ht="28.8" x14ac:dyDescent="0.3">
      <c r="A673" s="596" t="s">
        <v>7</v>
      </c>
      <c r="B673" s="596"/>
      <c r="C673" s="596"/>
      <c r="D673" s="596"/>
      <c r="E673" s="596"/>
      <c r="F673" s="596"/>
      <c r="G673" s="596"/>
    </row>
    <row r="674" spans="1:7" ht="28.8" x14ac:dyDescent="0.3">
      <c r="A674" s="150"/>
      <c r="B674" s="150"/>
      <c r="C674" s="150"/>
      <c r="D674" s="150"/>
      <c r="E674" s="150"/>
      <c r="F674" s="150"/>
      <c r="G674" s="150"/>
    </row>
    <row r="675" spans="1:7" ht="21.6" thickBot="1" x14ac:dyDescent="0.45">
      <c r="A675" s="597" t="s">
        <v>430</v>
      </c>
      <c r="B675" s="597"/>
      <c r="C675" s="597"/>
      <c r="D675" s="597"/>
      <c r="E675" s="597"/>
      <c r="F675" s="597"/>
      <c r="G675" s="597"/>
    </row>
    <row r="676" spans="1:7" ht="18.600000000000001" thickBot="1" x14ac:dyDescent="0.35">
      <c r="A676" s="20" t="s">
        <v>235</v>
      </c>
      <c r="B676" s="284" t="s">
        <v>34</v>
      </c>
      <c r="C676" s="21" t="s">
        <v>1</v>
      </c>
      <c r="D676" s="598" t="s">
        <v>4</v>
      </c>
      <c r="E676" s="599"/>
      <c r="F676" s="21" t="s">
        <v>2</v>
      </c>
      <c r="G676" s="19" t="s">
        <v>3</v>
      </c>
    </row>
    <row r="677" spans="1:7" x14ac:dyDescent="0.3">
      <c r="A677" s="219" t="s">
        <v>237</v>
      </c>
      <c r="B677" s="164"/>
      <c r="C677" s="61" t="s">
        <v>208</v>
      </c>
      <c r="D677" s="62"/>
      <c r="E677" s="62"/>
      <c r="F677" s="63"/>
      <c r="G677" s="64"/>
    </row>
    <row r="678" spans="1:7" x14ac:dyDescent="0.3">
      <c r="A678" s="13" t="s">
        <v>247</v>
      </c>
      <c r="B678" s="169" t="s">
        <v>248</v>
      </c>
      <c r="C678" s="72" t="s">
        <v>388</v>
      </c>
      <c r="D678" s="634" t="s">
        <v>389</v>
      </c>
      <c r="E678" s="635"/>
      <c r="F678" s="191">
        <v>45443</v>
      </c>
      <c r="G678" s="71"/>
    </row>
    <row r="679" spans="1:7" x14ac:dyDescent="0.3">
      <c r="A679" s="175" t="s">
        <v>240</v>
      </c>
      <c r="B679" s="174" t="s">
        <v>234</v>
      </c>
      <c r="C679" s="69"/>
      <c r="D679" s="621" t="s">
        <v>259</v>
      </c>
      <c r="E679" s="622"/>
      <c r="F679" s="70"/>
      <c r="G679" s="272" t="s">
        <v>431</v>
      </c>
    </row>
    <row r="680" spans="1:7" x14ac:dyDescent="0.3">
      <c r="A680" s="175" t="s">
        <v>228</v>
      </c>
      <c r="B680" s="174" t="e">
        <f>#REF!</f>
        <v>#REF!</v>
      </c>
      <c r="C680" s="69"/>
      <c r="D680" s="197" t="s">
        <v>429</v>
      </c>
      <c r="E680" s="198"/>
      <c r="F680" s="70"/>
      <c r="G680" s="192"/>
    </row>
    <row r="681" spans="1:7" x14ac:dyDescent="0.3">
      <c r="A681" s="1" t="s">
        <v>241</v>
      </c>
      <c r="B681" t="s">
        <v>249</v>
      </c>
      <c r="C681" s="6"/>
      <c r="D681" s="612" t="s">
        <v>262</v>
      </c>
      <c r="E681" s="613"/>
      <c r="F681" s="6"/>
      <c r="G681" s="659" t="s">
        <v>336</v>
      </c>
    </row>
    <row r="682" spans="1:7" ht="28.8" customHeight="1" x14ac:dyDescent="0.3">
      <c r="A682" s="186" t="s">
        <v>370</v>
      </c>
      <c r="B682" t="s">
        <v>249</v>
      </c>
      <c r="C682" s="6"/>
      <c r="D682" s="612" t="s">
        <v>432</v>
      </c>
      <c r="E682" s="613"/>
      <c r="F682" s="46">
        <v>45443</v>
      </c>
      <c r="G682" s="650"/>
    </row>
    <row r="683" spans="1:7" x14ac:dyDescent="0.3">
      <c r="A683" s="186" t="s">
        <v>323</v>
      </c>
      <c r="B683" s="81" t="s">
        <v>250</v>
      </c>
      <c r="C683" s="22"/>
      <c r="D683" s="612" t="s">
        <v>391</v>
      </c>
      <c r="E683" s="613"/>
      <c r="F683" s="46"/>
      <c r="G683" s="650"/>
    </row>
    <row r="684" spans="1:7" x14ac:dyDescent="0.3">
      <c r="A684" s="1" t="s">
        <v>335</v>
      </c>
      <c r="B684" t="s">
        <v>337</v>
      </c>
      <c r="C684" s="6"/>
      <c r="D684" s="612" t="s">
        <v>406</v>
      </c>
      <c r="E684" s="613"/>
      <c r="F684" s="6"/>
      <c r="G684" s="650"/>
    </row>
    <row r="685" spans="1:7" ht="26.4" customHeight="1" x14ac:dyDescent="0.3">
      <c r="A685" s="1" t="s">
        <v>242</v>
      </c>
      <c r="B685" t="s">
        <v>324</v>
      </c>
      <c r="C685" s="6"/>
      <c r="D685" s="612" t="s">
        <v>433</v>
      </c>
      <c r="E685" s="613"/>
      <c r="F685" s="6"/>
      <c r="G685" s="220" t="s">
        <v>399</v>
      </c>
    </row>
    <row r="686" spans="1:7" x14ac:dyDescent="0.3">
      <c r="A686" s="13" t="s">
        <v>320</v>
      </c>
      <c r="B686" s="169" t="s">
        <v>338</v>
      </c>
      <c r="C686" s="193"/>
      <c r="D686" s="634" t="s">
        <v>434</v>
      </c>
      <c r="E686" s="635"/>
      <c r="F686" s="191"/>
      <c r="G686" s="221" t="s">
        <v>400</v>
      </c>
    </row>
    <row r="687" spans="1:7" x14ac:dyDescent="0.3">
      <c r="A687" s="175" t="s">
        <v>263</v>
      </c>
      <c r="B687" s="174" t="s">
        <v>264</v>
      </c>
      <c r="C687" s="194"/>
      <c r="D687" s="273" t="s">
        <v>61</v>
      </c>
      <c r="E687" s="274"/>
      <c r="F687" s="69"/>
      <c r="G687" s="192"/>
    </row>
    <row r="688" spans="1:7" x14ac:dyDescent="0.3">
      <c r="A688" s="175" t="s">
        <v>243</v>
      </c>
      <c r="B688" s="174" t="s">
        <v>251</v>
      </c>
      <c r="C688" s="69"/>
      <c r="D688" s="621" t="s">
        <v>262</v>
      </c>
      <c r="E688" s="622"/>
      <c r="F688" s="69"/>
      <c r="G688" s="223" t="s">
        <v>403</v>
      </c>
    </row>
    <row r="689" spans="1:7" x14ac:dyDescent="0.3">
      <c r="A689" s="175" t="s">
        <v>332</v>
      </c>
      <c r="B689" s="174" t="s">
        <v>393</v>
      </c>
      <c r="C689" s="194" t="s">
        <v>334</v>
      </c>
      <c r="D689" s="196" t="s">
        <v>394</v>
      </c>
      <c r="E689" s="196"/>
      <c r="F689" s="70"/>
      <c r="G689" s="192" t="s">
        <v>395</v>
      </c>
    </row>
    <row r="690" spans="1:7" x14ac:dyDescent="0.3">
      <c r="A690" s="1" t="s">
        <v>348</v>
      </c>
      <c r="B690" t="e">
        <f>#REF!</f>
        <v>#REF!</v>
      </c>
      <c r="C690" s="22"/>
      <c r="D690" s="185"/>
      <c r="E690" s="185"/>
      <c r="F690" s="46"/>
      <c r="G690" s="2" t="s">
        <v>404</v>
      </c>
    </row>
    <row r="691" spans="1:7" ht="28.8" x14ac:dyDescent="0.3">
      <c r="A691" s="285" t="s">
        <v>416</v>
      </c>
      <c r="B691" s="69" t="s">
        <v>417</v>
      </c>
      <c r="C691" s="194" t="s">
        <v>388</v>
      </c>
      <c r="D691" s="621" t="s">
        <v>262</v>
      </c>
      <c r="E691" s="622"/>
      <c r="F691" s="70"/>
      <c r="G691" s="101"/>
    </row>
    <row r="692" spans="1:7" ht="15" thickBot="1" x14ac:dyDescent="0.35">
      <c r="A692" s="47"/>
      <c r="B692" s="163"/>
      <c r="C692" s="22"/>
      <c r="D692" s="48"/>
      <c r="F692" s="46"/>
      <c r="G692" s="2"/>
    </row>
    <row r="693" spans="1:7" x14ac:dyDescent="0.3">
      <c r="A693" s="60" t="s">
        <v>238</v>
      </c>
      <c r="B693" s="162"/>
      <c r="C693" s="61" t="s">
        <v>211</v>
      </c>
      <c r="D693" s="62"/>
      <c r="E693" s="62"/>
      <c r="F693" s="63"/>
      <c r="G693" s="64"/>
    </row>
    <row r="694" spans="1:7" x14ac:dyDescent="0.3">
      <c r="A694" s="286" t="s">
        <v>346</v>
      </c>
      <c r="B694" s="69" t="s">
        <v>234</v>
      </c>
      <c r="C694" s="194" t="s">
        <v>471</v>
      </c>
      <c r="D694" s="69" t="s">
        <v>340</v>
      </c>
      <c r="E694" s="69"/>
      <c r="F694" s="69"/>
      <c r="G694" s="101" t="s">
        <v>347</v>
      </c>
    </row>
    <row r="695" spans="1:7" x14ac:dyDescent="0.3">
      <c r="A695" s="285" t="s">
        <v>263</v>
      </c>
      <c r="B695" s="69" t="s">
        <v>264</v>
      </c>
      <c r="C695" s="194"/>
      <c r="D695" s="282" t="s">
        <v>61</v>
      </c>
      <c r="E695" s="69"/>
      <c r="F695" s="69"/>
      <c r="G695" s="101"/>
    </row>
    <row r="696" spans="1:7" x14ac:dyDescent="0.3">
      <c r="A696" s="285" t="s">
        <v>335</v>
      </c>
      <c r="B696" s="69" t="s">
        <v>337</v>
      </c>
      <c r="C696" s="194"/>
      <c r="D696" s="282" t="s">
        <v>372</v>
      </c>
      <c r="E696" s="69"/>
      <c r="F696" s="70">
        <v>45441</v>
      </c>
      <c r="G696" s="101" t="s">
        <v>435</v>
      </c>
    </row>
    <row r="697" spans="1:7" x14ac:dyDescent="0.3">
      <c r="A697" s="287" t="s">
        <v>323</v>
      </c>
      <c r="B697" s="125" t="s">
        <v>324</v>
      </c>
      <c r="C697" s="194"/>
      <c r="D697" s="647" t="s">
        <v>327</v>
      </c>
      <c r="E697" s="647"/>
      <c r="F697" s="70">
        <v>45441</v>
      </c>
      <c r="G697" s="101" t="s">
        <v>42</v>
      </c>
    </row>
    <row r="698" spans="1:7" x14ac:dyDescent="0.3">
      <c r="A698" s="287" t="s">
        <v>370</v>
      </c>
      <c r="B698" s="69" t="s">
        <v>249</v>
      </c>
      <c r="C698" s="194"/>
      <c r="D698" s="647" t="s">
        <v>436</v>
      </c>
      <c r="E698" s="647"/>
      <c r="F698" s="70">
        <v>45441</v>
      </c>
      <c r="G698" s="101" t="s">
        <v>42</v>
      </c>
    </row>
    <row r="699" spans="1:7" x14ac:dyDescent="0.3">
      <c r="A699" s="288" t="s">
        <v>320</v>
      </c>
      <c r="B699" s="69" t="s">
        <v>338</v>
      </c>
      <c r="C699" s="194"/>
      <c r="D699" s="647" t="s">
        <v>401</v>
      </c>
      <c r="E699" s="647"/>
      <c r="F699" s="70">
        <v>45442</v>
      </c>
      <c r="G699" s="289" t="s">
        <v>400</v>
      </c>
    </row>
    <row r="700" spans="1:7" x14ac:dyDescent="0.3">
      <c r="A700" s="290" t="s">
        <v>428</v>
      </c>
      <c r="B700" s="125"/>
      <c r="C700" s="194"/>
      <c r="D700" s="283"/>
      <c r="E700" s="283"/>
      <c r="F700" s="69"/>
      <c r="G700" s="101" t="s">
        <v>347</v>
      </c>
    </row>
    <row r="701" spans="1:7" x14ac:dyDescent="0.3">
      <c r="A701" s="285" t="s">
        <v>246</v>
      </c>
      <c r="B701" s="137"/>
      <c r="C701" s="194"/>
      <c r="D701" s="282"/>
      <c r="E701" s="69"/>
      <c r="F701" s="69" t="s">
        <v>437</v>
      </c>
      <c r="G701" s="291" t="s">
        <v>42</v>
      </c>
    </row>
    <row r="702" spans="1:7" x14ac:dyDescent="0.3">
      <c r="A702" s="47"/>
      <c r="B702" s="163"/>
      <c r="C702" s="22"/>
      <c r="D702" s="48"/>
      <c r="F702" s="6"/>
      <c r="G702" s="2"/>
    </row>
    <row r="703" spans="1:7" ht="15" thickBot="1" x14ac:dyDescent="0.35">
      <c r="A703" s="188"/>
      <c r="B703" s="189"/>
      <c r="C703" s="23"/>
      <c r="D703" s="190"/>
      <c r="E703" s="4"/>
      <c r="F703" s="7"/>
      <c r="G703" s="5"/>
    </row>
    <row r="704" spans="1:7" ht="15" thickBot="1" x14ac:dyDescent="0.35">
      <c r="A704" s="60" t="s">
        <v>236</v>
      </c>
      <c r="B704" s="162"/>
      <c r="C704" s="61" t="s">
        <v>239</v>
      </c>
      <c r="D704" s="62"/>
      <c r="E704" s="62"/>
      <c r="F704" s="63"/>
      <c r="G704" s="64"/>
    </row>
    <row r="705" spans="1:7" x14ac:dyDescent="0.3">
      <c r="A705" s="259" t="s">
        <v>501</v>
      </c>
      <c r="B705" s="260"/>
      <c r="C705" s="261"/>
      <c r="D705" s="261" t="s">
        <v>269</v>
      </c>
      <c r="E705" s="262"/>
      <c r="F705" s="262"/>
      <c r="G705" s="262" t="s">
        <v>378</v>
      </c>
    </row>
    <row r="706" spans="1:7" ht="30.6" x14ac:dyDescent="0.3">
      <c r="A706" s="267" t="s">
        <v>270</v>
      </c>
      <c r="B706" s="141"/>
      <c r="C706" s="263"/>
      <c r="D706" s="264"/>
      <c r="E706" s="265" t="s">
        <v>438</v>
      </c>
      <c r="F706" s="265"/>
      <c r="G706" s="268" t="s">
        <v>427</v>
      </c>
    </row>
    <row r="707" spans="1:7" x14ac:dyDescent="0.3">
      <c r="A707" s="267" t="s">
        <v>280</v>
      </c>
      <c r="B707" s="141"/>
      <c r="C707" s="263"/>
      <c r="D707" s="263" t="s">
        <v>281</v>
      </c>
      <c r="E707" s="265" t="s">
        <v>282</v>
      </c>
      <c r="F707" s="265"/>
      <c r="G707" s="269" t="s">
        <v>409</v>
      </c>
    </row>
    <row r="708" spans="1:7" ht="44.4" customHeight="1" x14ac:dyDescent="0.3">
      <c r="A708" s="267" t="s">
        <v>424</v>
      </c>
      <c r="B708" s="141"/>
      <c r="C708" s="648" t="s">
        <v>448</v>
      </c>
      <c r="D708" s="649"/>
      <c r="E708" s="265" t="s">
        <v>440</v>
      </c>
      <c r="F708" s="265" t="s">
        <v>442</v>
      </c>
      <c r="G708" s="268" t="s">
        <v>441</v>
      </c>
    </row>
    <row r="709" spans="1:7" x14ac:dyDescent="0.3">
      <c r="A709" s="226"/>
      <c r="B709" s="227"/>
      <c r="C709" s="228"/>
      <c r="D709" s="229"/>
      <c r="E709" s="230"/>
      <c r="F709" s="231"/>
      <c r="G709" s="232"/>
    </row>
    <row r="710" spans="1:7" x14ac:dyDescent="0.3">
      <c r="A710" s="233" t="s">
        <v>289</v>
      </c>
      <c r="B710" s="227"/>
      <c r="C710" s="228"/>
      <c r="D710" s="229"/>
      <c r="E710" s="230"/>
      <c r="F710" s="231"/>
      <c r="G710" s="232"/>
    </row>
    <row r="711" spans="1:7" x14ac:dyDescent="0.3">
      <c r="A711" s="226" t="s">
        <v>284</v>
      </c>
      <c r="B711" s="227"/>
      <c r="C711" s="228"/>
      <c r="D711" s="229"/>
      <c r="E711" s="230"/>
      <c r="F711" s="231"/>
      <c r="G711" s="232"/>
    </row>
    <row r="712" spans="1:7" x14ac:dyDescent="0.3">
      <c r="A712" s="226" t="s">
        <v>285</v>
      </c>
      <c r="B712" s="227"/>
      <c r="C712" s="228"/>
      <c r="D712" s="229"/>
      <c r="E712" s="230"/>
      <c r="F712" s="231"/>
      <c r="G712" s="232"/>
    </row>
    <row r="713" spans="1:7" x14ac:dyDescent="0.3">
      <c r="A713" s="226" t="s">
        <v>286</v>
      </c>
      <c r="B713" s="227"/>
      <c r="C713" s="228"/>
      <c r="D713" s="229"/>
      <c r="E713" s="230"/>
      <c r="F713" s="231"/>
      <c r="G713" s="232"/>
    </row>
    <row r="714" spans="1:7" x14ac:dyDescent="0.3">
      <c r="A714" s="226" t="s">
        <v>287</v>
      </c>
      <c r="B714" s="227"/>
      <c r="C714" s="228"/>
      <c r="D714" s="229"/>
      <c r="E714" s="230"/>
      <c r="F714" s="231"/>
      <c r="G714" s="232"/>
    </row>
    <row r="715" spans="1:7" x14ac:dyDescent="0.3">
      <c r="A715" s="226" t="s">
        <v>288</v>
      </c>
      <c r="B715" s="227"/>
      <c r="C715" s="228"/>
      <c r="D715" s="229"/>
      <c r="E715" s="230"/>
      <c r="F715" s="231"/>
      <c r="G715" s="232"/>
    </row>
    <row r="716" spans="1:7" x14ac:dyDescent="0.3">
      <c r="A716" s="640" t="s">
        <v>290</v>
      </c>
      <c r="B716" s="641"/>
      <c r="C716" s="228"/>
      <c r="D716" s="229"/>
      <c r="E716" s="230"/>
      <c r="F716" s="231"/>
      <c r="G716" s="232"/>
    </row>
    <row r="717" spans="1:7" x14ac:dyDescent="0.3">
      <c r="A717" s="234" t="s">
        <v>291</v>
      </c>
      <c r="B717" s="235"/>
      <c r="C717" s="228"/>
      <c r="D717" s="229"/>
      <c r="E717" s="236"/>
      <c r="F717" s="231"/>
      <c r="G717" s="232" t="s">
        <v>295</v>
      </c>
    </row>
    <row r="718" spans="1:7" x14ac:dyDescent="0.3">
      <c r="A718" s="234" t="s">
        <v>292</v>
      </c>
      <c r="B718" s="235"/>
      <c r="C718" s="228"/>
      <c r="D718" s="229"/>
      <c r="E718" s="236"/>
      <c r="F718" s="231"/>
      <c r="G718" s="232" t="s">
        <v>42</v>
      </c>
    </row>
    <row r="719" spans="1:7" x14ac:dyDescent="0.3">
      <c r="A719" s="234" t="s">
        <v>293</v>
      </c>
      <c r="B719" s="235"/>
      <c r="C719" s="228"/>
      <c r="D719" s="229"/>
      <c r="E719" s="236"/>
      <c r="F719" s="231"/>
      <c r="G719" s="232" t="s">
        <v>410</v>
      </c>
    </row>
    <row r="720" spans="1:7" x14ac:dyDescent="0.3">
      <c r="A720" s="234" t="s">
        <v>294</v>
      </c>
      <c r="B720" s="235"/>
      <c r="C720" s="228"/>
      <c r="D720" s="229"/>
      <c r="E720" s="236"/>
      <c r="F720" s="231"/>
      <c r="G720" s="232" t="s">
        <v>411</v>
      </c>
    </row>
    <row r="721" spans="1:8" x14ac:dyDescent="0.3">
      <c r="A721" s="237"/>
      <c r="B721" s="235"/>
      <c r="C721" s="228"/>
      <c r="D721" s="229"/>
      <c r="E721" s="230"/>
      <c r="F721" s="231"/>
      <c r="G721" s="232"/>
    </row>
    <row r="722" spans="1:8" x14ac:dyDescent="0.3">
      <c r="A722" s="606" t="s">
        <v>452</v>
      </c>
      <c r="B722" s="602"/>
      <c r="C722" s="228"/>
      <c r="D722" s="229" t="s">
        <v>450</v>
      </c>
      <c r="E722" s="238"/>
      <c r="F722" s="239"/>
      <c r="G722" s="280" t="s">
        <v>454</v>
      </c>
    </row>
    <row r="723" spans="1:8" x14ac:dyDescent="0.3">
      <c r="A723" s="606" t="s">
        <v>451</v>
      </c>
      <c r="B723" s="602"/>
      <c r="C723" s="228"/>
      <c r="D723" s="229" t="s">
        <v>450</v>
      </c>
      <c r="E723" s="238"/>
      <c r="F723" s="239"/>
      <c r="G723" s="280" t="s">
        <v>454</v>
      </c>
    </row>
    <row r="724" spans="1:8" ht="14.4" customHeight="1" x14ac:dyDescent="0.3">
      <c r="A724" s="606" t="s">
        <v>453</v>
      </c>
      <c r="B724" s="602"/>
      <c r="C724" s="228"/>
      <c r="D724" s="229" t="s">
        <v>450</v>
      </c>
      <c r="E724" s="238"/>
      <c r="F724" s="239"/>
      <c r="G724" s="280" t="s">
        <v>454</v>
      </c>
    </row>
    <row r="725" spans="1:8" ht="14.4" customHeight="1" x14ac:dyDescent="0.3">
      <c r="A725" s="241"/>
      <c r="B725" s="240"/>
      <c r="C725" s="228"/>
      <c r="D725" s="229"/>
      <c r="E725" s="238"/>
      <c r="F725" s="239"/>
      <c r="G725" s="232"/>
    </row>
    <row r="726" spans="1:8" ht="15.6" customHeight="1" x14ac:dyDescent="0.3">
      <c r="A726" s="606" t="s">
        <v>455</v>
      </c>
      <c r="B726" s="602"/>
      <c r="C726" s="228"/>
      <c r="D726" s="275" t="s">
        <v>457</v>
      </c>
      <c r="E726" s="240"/>
      <c r="F726" s="239"/>
      <c r="G726" s="281" t="s">
        <v>456</v>
      </c>
      <c r="H726" s="277"/>
    </row>
    <row r="727" spans="1:8" ht="16.2" customHeight="1" x14ac:dyDescent="0.3">
      <c r="A727" s="606" t="s">
        <v>458</v>
      </c>
      <c r="B727" s="602"/>
      <c r="C727" s="228"/>
      <c r="D727" s="275" t="s">
        <v>450</v>
      </c>
      <c r="E727" s="240"/>
      <c r="F727" s="239"/>
      <c r="G727" s="281" t="s">
        <v>456</v>
      </c>
      <c r="H727" s="277"/>
    </row>
    <row r="728" spans="1:8" ht="14.4" customHeight="1" x14ac:dyDescent="0.3">
      <c r="A728" s="606" t="s">
        <v>459</v>
      </c>
      <c r="B728" s="602"/>
      <c r="C728" s="228"/>
      <c r="D728" s="275" t="s">
        <v>450</v>
      </c>
      <c r="E728" s="240"/>
      <c r="F728" s="239"/>
      <c r="G728" s="281" t="s">
        <v>456</v>
      </c>
      <c r="H728" s="277"/>
    </row>
    <row r="729" spans="1:8" ht="15.6" customHeight="1" x14ac:dyDescent="0.3">
      <c r="A729" s="606" t="s">
        <v>460</v>
      </c>
      <c r="B729" s="602"/>
      <c r="C729" s="228"/>
      <c r="D729" s="275" t="s">
        <v>450</v>
      </c>
      <c r="E729" s="240"/>
      <c r="F729" s="239"/>
      <c r="G729" s="281" t="s">
        <v>456</v>
      </c>
      <c r="H729" s="277"/>
    </row>
    <row r="730" spans="1:8" x14ac:dyDescent="0.3">
      <c r="A730" s="606" t="s">
        <v>461</v>
      </c>
      <c r="B730" s="602"/>
      <c r="C730" s="228"/>
      <c r="D730" s="275" t="s">
        <v>457</v>
      </c>
      <c r="E730" s="240"/>
      <c r="F730" s="239"/>
      <c r="G730" s="281" t="s">
        <v>456</v>
      </c>
      <c r="H730" s="277"/>
    </row>
    <row r="731" spans="1:8" x14ac:dyDescent="0.3">
      <c r="A731" s="606" t="s">
        <v>462</v>
      </c>
      <c r="B731" s="602"/>
      <c r="C731" s="228"/>
      <c r="D731" s="275" t="s">
        <v>450</v>
      </c>
      <c r="E731" s="240"/>
      <c r="F731" s="239"/>
      <c r="G731" s="281" t="s">
        <v>456</v>
      </c>
      <c r="H731" s="277"/>
    </row>
    <row r="732" spans="1:8" x14ac:dyDescent="0.3">
      <c r="A732" s="606" t="s">
        <v>463</v>
      </c>
      <c r="B732" s="602"/>
      <c r="C732" s="228"/>
      <c r="D732" s="275" t="s">
        <v>450</v>
      </c>
      <c r="E732" s="240"/>
      <c r="F732" s="239"/>
      <c r="G732" s="281" t="s">
        <v>456</v>
      </c>
      <c r="H732" s="277"/>
    </row>
    <row r="733" spans="1:8" x14ac:dyDescent="0.3">
      <c r="A733" s="606" t="s">
        <v>464</v>
      </c>
      <c r="B733" s="602"/>
      <c r="C733" s="228"/>
      <c r="D733" s="275" t="s">
        <v>450</v>
      </c>
      <c r="E733" s="240"/>
      <c r="F733" s="239"/>
      <c r="G733" s="281" t="s">
        <v>456</v>
      </c>
      <c r="H733" s="277"/>
    </row>
    <row r="734" spans="1:8" x14ac:dyDescent="0.3">
      <c r="A734" s="241"/>
      <c r="B734" s="240"/>
      <c r="C734" s="228"/>
      <c r="D734" s="275"/>
      <c r="E734" s="278" t="s">
        <v>469</v>
      </c>
      <c r="F734" s="239"/>
      <c r="G734" s="232"/>
      <c r="H734" s="276"/>
    </row>
    <row r="735" spans="1:8" ht="14.4" customHeight="1" x14ac:dyDescent="0.3">
      <c r="A735" s="606" t="s">
        <v>465</v>
      </c>
      <c r="B735" s="602"/>
      <c r="C735" s="228"/>
      <c r="D735" s="275" t="s">
        <v>457</v>
      </c>
      <c r="E735" s="235"/>
      <c r="F735" s="239"/>
      <c r="G735" s="281" t="s">
        <v>468</v>
      </c>
    </row>
    <row r="736" spans="1:8" ht="14.4" customHeight="1" x14ac:dyDescent="0.3">
      <c r="A736" s="606" t="s">
        <v>466</v>
      </c>
      <c r="B736" s="602"/>
      <c r="C736" s="228"/>
      <c r="D736" s="275" t="s">
        <v>457</v>
      </c>
      <c r="E736" s="235"/>
      <c r="F736" s="239"/>
      <c r="G736" s="281" t="s">
        <v>468</v>
      </c>
    </row>
    <row r="737" spans="1:7" ht="14.4" customHeight="1" x14ac:dyDescent="0.3">
      <c r="A737" s="606" t="s">
        <v>467</v>
      </c>
      <c r="B737" s="602"/>
      <c r="C737" s="228"/>
      <c r="D737" s="275" t="s">
        <v>450</v>
      </c>
      <c r="E737" s="235"/>
      <c r="F737" s="239"/>
      <c r="G737" s="281" t="s">
        <v>468</v>
      </c>
    </row>
    <row r="738" spans="1:7" x14ac:dyDescent="0.3">
      <c r="A738" s="241"/>
      <c r="B738" s="235"/>
      <c r="C738" s="228"/>
      <c r="D738" s="229"/>
      <c r="E738" s="279" t="s">
        <v>470</v>
      </c>
      <c r="F738" s="239"/>
      <c r="G738" s="232"/>
    </row>
    <row r="739" spans="1:7" x14ac:dyDescent="0.3">
      <c r="A739" s="241"/>
      <c r="B739" s="235"/>
      <c r="C739" s="228"/>
      <c r="D739" s="229"/>
      <c r="E739" s="235"/>
      <c r="F739" s="239"/>
      <c r="G739" s="232"/>
    </row>
    <row r="740" spans="1:7" x14ac:dyDescent="0.3">
      <c r="A740" s="241"/>
      <c r="B740" s="235"/>
      <c r="C740" s="228"/>
      <c r="D740" s="229"/>
      <c r="E740" s="230"/>
      <c r="F740" s="231"/>
      <c r="G740" s="232"/>
    </row>
    <row r="741" spans="1:7" x14ac:dyDescent="0.3">
      <c r="A741" s="242" t="s">
        <v>316</v>
      </c>
      <c r="B741" s="235"/>
      <c r="C741" s="228"/>
      <c r="D741" s="229"/>
      <c r="E741" s="230"/>
      <c r="F741" s="231"/>
      <c r="G741" s="232"/>
    </row>
    <row r="742" spans="1:7" ht="32.4" customHeight="1" x14ac:dyDescent="0.3">
      <c r="A742" s="636" t="s">
        <v>302</v>
      </c>
      <c r="B742" s="637"/>
      <c r="C742" s="228"/>
      <c r="D742" s="229"/>
      <c r="E742" s="230"/>
      <c r="F742" s="243"/>
      <c r="G742" s="244" t="s">
        <v>375</v>
      </c>
    </row>
    <row r="743" spans="1:7" ht="43.2" x14ac:dyDescent="0.3">
      <c r="A743" s="606" t="s">
        <v>304</v>
      </c>
      <c r="B743" s="602"/>
      <c r="C743" s="228"/>
      <c r="D743" s="229"/>
      <c r="E743" s="230"/>
      <c r="F743" s="245">
        <v>45425</v>
      </c>
      <c r="G743" s="244" t="s">
        <v>377</v>
      </c>
    </row>
    <row r="744" spans="1:7" ht="28.8" x14ac:dyDescent="0.3">
      <c r="A744" s="241" t="s">
        <v>306</v>
      </c>
      <c r="B744" s="235"/>
      <c r="C744" s="228"/>
      <c r="D744" s="229" t="s">
        <v>318</v>
      </c>
      <c r="E744" s="230" t="s">
        <v>384</v>
      </c>
      <c r="F744" s="243"/>
      <c r="G744" s="246" t="s">
        <v>443</v>
      </c>
    </row>
    <row r="745" spans="1:7" x14ac:dyDescent="0.3">
      <c r="A745" s="226"/>
      <c r="B745" s="235"/>
      <c r="C745" s="228"/>
      <c r="D745" s="229"/>
      <c r="E745" s="230"/>
      <c r="F745" s="231"/>
      <c r="G745" s="232"/>
    </row>
    <row r="746" spans="1:7" x14ac:dyDescent="0.3">
      <c r="A746" s="237" t="s">
        <v>414</v>
      </c>
      <c r="B746" s="230"/>
      <c r="C746" s="231"/>
      <c r="D746" s="230"/>
      <c r="E746" s="230"/>
      <c r="F746" s="231"/>
      <c r="G746" s="232"/>
    </row>
    <row r="747" spans="1:7" x14ac:dyDescent="0.3">
      <c r="A747" s="237" t="s">
        <v>419</v>
      </c>
      <c r="B747" s="230"/>
      <c r="C747" s="231"/>
      <c r="D747" s="230"/>
      <c r="E747" s="230"/>
      <c r="F747" s="247">
        <v>45441</v>
      </c>
      <c r="G747" s="232"/>
    </row>
    <row r="748" spans="1:7" x14ac:dyDescent="0.3">
      <c r="A748" s="237" t="s">
        <v>415</v>
      </c>
      <c r="B748" s="230"/>
      <c r="C748" s="231"/>
      <c r="D748" s="230"/>
      <c r="E748" s="230"/>
      <c r="F748" s="231"/>
      <c r="G748" s="232"/>
    </row>
    <row r="749" spans="1:7" x14ac:dyDescent="0.3">
      <c r="A749" s="237" t="s">
        <v>420</v>
      </c>
      <c r="B749" s="230"/>
      <c r="C749" s="231"/>
      <c r="D749" s="230"/>
      <c r="E749" s="230"/>
      <c r="F749" s="231"/>
      <c r="G749" s="232"/>
    </row>
    <row r="750" spans="1:7" x14ac:dyDescent="0.3">
      <c r="A750" s="237" t="s">
        <v>421</v>
      </c>
      <c r="B750" s="230"/>
      <c r="C750" s="231"/>
      <c r="D750" s="230" t="s">
        <v>446</v>
      </c>
      <c r="F750" s="231"/>
      <c r="G750" s="232" t="s">
        <v>444</v>
      </c>
    </row>
    <row r="751" spans="1:7" x14ac:dyDescent="0.3">
      <c r="A751" s="237"/>
      <c r="B751" s="230"/>
      <c r="C751" s="231"/>
      <c r="D751" s="230"/>
      <c r="E751" s="230"/>
      <c r="F751" s="231"/>
      <c r="G751" s="232"/>
    </row>
    <row r="752" spans="1:7" x14ac:dyDescent="0.3">
      <c r="A752" s="237" t="s">
        <v>422</v>
      </c>
      <c r="B752" s="230"/>
      <c r="C752" s="231"/>
      <c r="D752" s="230"/>
      <c r="E752" s="230"/>
      <c r="F752" s="247">
        <v>45441</v>
      </c>
      <c r="G752" s="232"/>
    </row>
    <row r="753" spans="1:7" x14ac:dyDescent="0.3">
      <c r="A753" s="237"/>
      <c r="B753" s="230"/>
      <c r="C753" s="231"/>
      <c r="D753" s="230"/>
      <c r="E753" s="230"/>
      <c r="F753" s="231"/>
      <c r="G753" s="232"/>
    </row>
    <row r="754" spans="1:7" x14ac:dyDescent="0.3">
      <c r="A754" s="237" t="s">
        <v>423</v>
      </c>
      <c r="B754" s="230"/>
      <c r="C754" s="231"/>
      <c r="D754" s="230" t="s">
        <v>447</v>
      </c>
      <c r="F754" s="247">
        <v>45435</v>
      </c>
      <c r="G754" s="232" t="s">
        <v>445</v>
      </c>
    </row>
    <row r="755" spans="1:7" ht="15" thickBot="1" x14ac:dyDescent="0.35">
      <c r="A755" s="253"/>
      <c r="B755" s="270"/>
      <c r="C755" s="255"/>
      <c r="D755" s="271"/>
      <c r="E755" s="254"/>
      <c r="F755" s="256"/>
      <c r="G755" s="257"/>
    </row>
    <row r="756" spans="1:7" x14ac:dyDescent="0.3">
      <c r="A756" s="248" t="s">
        <v>9</v>
      </c>
      <c r="B756" s="249"/>
      <c r="C756" s="266" t="s">
        <v>212</v>
      </c>
      <c r="D756" s="250"/>
      <c r="E756" s="250"/>
      <c r="F756" s="251"/>
      <c r="G756" s="252"/>
    </row>
    <row r="757" spans="1:7" x14ac:dyDescent="0.3">
      <c r="A757" s="226" t="s">
        <v>308</v>
      </c>
      <c r="B757" s="235"/>
      <c r="C757" s="228"/>
      <c r="D757" s="229"/>
      <c r="E757" s="230"/>
      <c r="F757" s="231"/>
      <c r="G757" s="232" t="s">
        <v>42</v>
      </c>
    </row>
    <row r="758" spans="1:7" x14ac:dyDescent="0.3">
      <c r="A758" s="237"/>
      <c r="B758" s="230"/>
      <c r="C758" s="228"/>
      <c r="D758" s="230"/>
      <c r="E758" s="230"/>
      <c r="F758" s="231"/>
      <c r="G758" s="232"/>
    </row>
    <row r="759" spans="1:7" x14ac:dyDescent="0.3">
      <c r="A759" s="237"/>
      <c r="B759" s="230"/>
      <c r="C759" s="228"/>
      <c r="D759" s="230"/>
      <c r="E759" s="230"/>
      <c r="F759" s="231"/>
      <c r="G759" s="232"/>
    </row>
    <row r="760" spans="1:7" x14ac:dyDescent="0.3">
      <c r="A760" s="237"/>
      <c r="B760" s="230"/>
      <c r="C760" s="228"/>
      <c r="D760" s="230"/>
      <c r="E760" s="230"/>
      <c r="F760" s="231"/>
      <c r="G760" s="232"/>
    </row>
    <row r="761" spans="1:7" ht="15" thickBot="1" x14ac:dyDescent="0.35">
      <c r="A761" s="253"/>
      <c r="B761" s="254"/>
      <c r="C761" s="255"/>
      <c r="D761" s="254"/>
      <c r="E761" s="254"/>
      <c r="F761" s="256"/>
      <c r="G761" s="257"/>
    </row>
    <row r="765" spans="1:7" ht="28.8" x14ac:dyDescent="0.3">
      <c r="A765" s="596" t="s">
        <v>7</v>
      </c>
      <c r="B765" s="596"/>
      <c r="C765" s="596"/>
      <c r="D765" s="596"/>
      <c r="E765" s="596"/>
      <c r="F765" s="596"/>
      <c r="G765" s="596"/>
    </row>
    <row r="766" spans="1:7" ht="28.8" x14ac:dyDescent="0.3">
      <c r="A766" s="150"/>
      <c r="B766" s="150"/>
      <c r="C766" s="150"/>
      <c r="D766" s="150"/>
      <c r="E766" s="150"/>
      <c r="F766" s="150"/>
      <c r="G766" s="150"/>
    </row>
    <row r="767" spans="1:7" ht="21.6" thickBot="1" x14ac:dyDescent="0.45">
      <c r="A767" s="642" t="s">
        <v>484</v>
      </c>
      <c r="B767" s="642"/>
      <c r="C767" s="642"/>
      <c r="D767" s="642"/>
      <c r="E767" s="642"/>
      <c r="F767" s="642"/>
      <c r="G767" s="642"/>
    </row>
    <row r="768" spans="1:7" ht="18.600000000000001" thickBot="1" x14ac:dyDescent="0.35">
      <c r="A768" s="20" t="s">
        <v>235</v>
      </c>
      <c r="B768" s="284" t="s">
        <v>34</v>
      </c>
      <c r="C768" s="21" t="s">
        <v>1</v>
      </c>
      <c r="D768" s="599" t="s">
        <v>4</v>
      </c>
      <c r="E768" s="598"/>
      <c r="F768" s="21" t="s">
        <v>2</v>
      </c>
      <c r="G768" s="19" t="s">
        <v>3</v>
      </c>
    </row>
    <row r="769" spans="1:7" x14ac:dyDescent="0.3">
      <c r="A769" s="219" t="s">
        <v>237</v>
      </c>
      <c r="B769" s="164"/>
      <c r="C769" s="61" t="s">
        <v>208</v>
      </c>
      <c r="D769" s="62"/>
      <c r="E769" s="62"/>
      <c r="F769" s="63"/>
      <c r="G769" s="64"/>
    </row>
    <row r="770" spans="1:7" x14ac:dyDescent="0.3">
      <c r="A770" s="13" t="s">
        <v>247</v>
      </c>
      <c r="B770" s="169" t="s">
        <v>248</v>
      </c>
      <c r="C770" s="72" t="s">
        <v>388</v>
      </c>
      <c r="D770" s="634"/>
      <c r="E770" s="635"/>
      <c r="F770" s="191">
        <v>45443</v>
      </c>
      <c r="G770" s="293" t="s">
        <v>485</v>
      </c>
    </row>
    <row r="771" spans="1:7" x14ac:dyDescent="0.3">
      <c r="A771" s="175" t="s">
        <v>240</v>
      </c>
      <c r="B771" s="174" t="s">
        <v>234</v>
      </c>
      <c r="C771" s="69"/>
      <c r="D771" s="621"/>
      <c r="E771" s="622"/>
      <c r="F771" s="70"/>
      <c r="G771" s="295"/>
    </row>
    <row r="772" spans="1:7" x14ac:dyDescent="0.3">
      <c r="A772" s="175" t="s">
        <v>228</v>
      </c>
      <c r="B772" s="174" t="e">
        <f>#REF!</f>
        <v>#REF!</v>
      </c>
      <c r="C772" s="69"/>
      <c r="D772" s="197" t="s">
        <v>429</v>
      </c>
      <c r="E772" s="198"/>
      <c r="F772" s="70"/>
      <c r="G772" s="192" t="s">
        <v>42</v>
      </c>
    </row>
    <row r="773" spans="1:7" ht="14.4" customHeight="1" x14ac:dyDescent="0.3">
      <c r="A773" s="1" t="s">
        <v>475</v>
      </c>
      <c r="B773" t="s">
        <v>249</v>
      </c>
      <c r="C773" s="6"/>
      <c r="D773" s="643" t="s">
        <v>486</v>
      </c>
      <c r="E773" s="644"/>
      <c r="F773" s="46">
        <v>45458</v>
      </c>
      <c r="G773" s="645" t="s">
        <v>480</v>
      </c>
    </row>
    <row r="774" spans="1:7" x14ac:dyDescent="0.3">
      <c r="A774" s="186" t="s">
        <v>323</v>
      </c>
      <c r="B774" s="81" t="s">
        <v>250</v>
      </c>
      <c r="C774" s="22"/>
      <c r="D774" s="612" t="s">
        <v>487</v>
      </c>
      <c r="E774" s="613"/>
      <c r="F774" s="46"/>
      <c r="G774" s="646"/>
    </row>
    <row r="775" spans="1:7" x14ac:dyDescent="0.3">
      <c r="A775" s="1" t="s">
        <v>335</v>
      </c>
      <c r="B775" t="s">
        <v>337</v>
      </c>
      <c r="C775" s="6"/>
      <c r="D775" s="612" t="s">
        <v>406</v>
      </c>
      <c r="E775" s="613"/>
      <c r="F775" s="6"/>
      <c r="G775" s="646"/>
    </row>
    <row r="776" spans="1:7" ht="14.4" customHeight="1" x14ac:dyDescent="0.3">
      <c r="A776" s="186" t="s">
        <v>476</v>
      </c>
      <c r="B776" t="s">
        <v>249</v>
      </c>
      <c r="C776" s="6"/>
      <c r="D776" s="612" t="s">
        <v>487</v>
      </c>
      <c r="E776" s="613"/>
      <c r="F776" s="46">
        <v>45458</v>
      </c>
      <c r="G776" s="315" t="s">
        <v>477</v>
      </c>
    </row>
    <row r="777" spans="1:7" x14ac:dyDescent="0.3">
      <c r="A777" s="1" t="s">
        <v>242</v>
      </c>
      <c r="B777" t="s">
        <v>324</v>
      </c>
      <c r="C777" s="6"/>
      <c r="D777" s="612"/>
      <c r="E777" s="613"/>
      <c r="F777" s="6"/>
      <c r="G777" s="315" t="s">
        <v>477</v>
      </c>
    </row>
    <row r="778" spans="1:7" ht="14.4" customHeight="1" x14ac:dyDescent="0.3">
      <c r="A778" s="13" t="s">
        <v>320</v>
      </c>
      <c r="B778" s="169" t="s">
        <v>338</v>
      </c>
      <c r="C778" s="193"/>
      <c r="D778" s="634" t="s">
        <v>487</v>
      </c>
      <c r="E778" s="635"/>
      <c r="F778" s="191">
        <v>45458</v>
      </c>
      <c r="G778" s="292" t="s">
        <v>477</v>
      </c>
    </row>
    <row r="779" spans="1:7" ht="14.4" customHeight="1" x14ac:dyDescent="0.3">
      <c r="A779" s="175" t="s">
        <v>243</v>
      </c>
      <c r="B779" s="174" t="s">
        <v>251</v>
      </c>
      <c r="C779" s="69"/>
      <c r="D779" s="621" t="s">
        <v>262</v>
      </c>
      <c r="E779" s="622"/>
      <c r="F779" s="69"/>
      <c r="G779" s="223" t="s">
        <v>488</v>
      </c>
    </row>
    <row r="780" spans="1:7" x14ac:dyDescent="0.3">
      <c r="A780" s="175" t="s">
        <v>332</v>
      </c>
      <c r="B780" s="174" t="s">
        <v>393</v>
      </c>
      <c r="C780" s="194" t="s">
        <v>334</v>
      </c>
      <c r="D780" s="196"/>
      <c r="E780" s="196"/>
      <c r="F780" s="70"/>
      <c r="G780" s="295" t="s">
        <v>489</v>
      </c>
    </row>
    <row r="781" spans="1:7" x14ac:dyDescent="0.3">
      <c r="A781" s="1" t="s">
        <v>348</v>
      </c>
      <c r="B781" t="e">
        <f>#REF!</f>
        <v>#REF!</v>
      </c>
      <c r="C781" s="22"/>
      <c r="D781" s="185"/>
      <c r="E781" s="185"/>
      <c r="F781" s="46"/>
      <c r="G781" s="2" t="s">
        <v>490</v>
      </c>
    </row>
    <row r="782" spans="1:7" ht="28.8" x14ac:dyDescent="0.3">
      <c r="A782" s="285" t="s">
        <v>478</v>
      </c>
      <c r="B782" s="296" t="s">
        <v>417</v>
      </c>
      <c r="C782" s="297" t="s">
        <v>388</v>
      </c>
      <c r="D782" s="627" t="s">
        <v>262</v>
      </c>
      <c r="E782" s="628"/>
      <c r="F782" s="298"/>
      <c r="G782" s="299" t="s">
        <v>479</v>
      </c>
    </row>
    <row r="783" spans="1:7" ht="14.4" customHeight="1" x14ac:dyDescent="0.3">
      <c r="A783" s="300" t="s">
        <v>491</v>
      </c>
      <c r="B783" s="301"/>
      <c r="C783" s="297"/>
      <c r="D783" s="627" t="s">
        <v>492</v>
      </c>
      <c r="E783" s="628"/>
      <c r="F783" s="298">
        <v>45461</v>
      </c>
      <c r="G783" s="302"/>
    </row>
    <row r="784" spans="1:7" ht="15" thickBot="1" x14ac:dyDescent="0.35">
      <c r="A784" s="47"/>
      <c r="B784" s="163"/>
      <c r="C784" s="22"/>
      <c r="D784" s="48"/>
      <c r="F784" s="46"/>
      <c r="G784" s="2"/>
    </row>
    <row r="785" spans="1:7" x14ac:dyDescent="0.3">
      <c r="A785" s="60" t="s">
        <v>238</v>
      </c>
      <c r="B785" s="162"/>
      <c r="C785" s="61" t="s">
        <v>211</v>
      </c>
      <c r="D785" s="62"/>
      <c r="E785" s="62"/>
      <c r="F785" s="63"/>
      <c r="G785" s="64"/>
    </row>
    <row r="786" spans="1:7" x14ac:dyDescent="0.3">
      <c r="A786" s="286" t="s">
        <v>346</v>
      </c>
      <c r="B786" s="69" t="s">
        <v>234</v>
      </c>
      <c r="C786" s="194" t="s">
        <v>471</v>
      </c>
      <c r="D786" s="69" t="s">
        <v>340</v>
      </c>
      <c r="E786" s="69"/>
      <c r="F786" s="69"/>
      <c r="G786" s="101" t="s">
        <v>347</v>
      </c>
    </row>
    <row r="787" spans="1:7" x14ac:dyDescent="0.3">
      <c r="A787" s="285" t="s">
        <v>335</v>
      </c>
      <c r="B787" s="69" t="s">
        <v>337</v>
      </c>
      <c r="C787" s="194"/>
      <c r="D787" s="282" t="s">
        <v>207</v>
      </c>
      <c r="E787" s="69"/>
      <c r="F787" s="70"/>
      <c r="G787" s="101"/>
    </row>
    <row r="788" spans="1:7" x14ac:dyDescent="0.3">
      <c r="A788" s="287" t="s">
        <v>323</v>
      </c>
      <c r="B788" s="125" t="s">
        <v>324</v>
      </c>
      <c r="C788" s="194"/>
      <c r="D788" s="621" t="s">
        <v>207</v>
      </c>
      <c r="E788" s="622" t="s">
        <v>207</v>
      </c>
      <c r="F788" s="70"/>
      <c r="G788" s="101"/>
    </row>
    <row r="789" spans="1:7" x14ac:dyDescent="0.3">
      <c r="A789" s="287" t="s">
        <v>370</v>
      </c>
      <c r="B789" s="69" t="s">
        <v>249</v>
      </c>
      <c r="C789" s="194"/>
      <c r="D789" s="621" t="s">
        <v>207</v>
      </c>
      <c r="E789" s="622" t="s">
        <v>207</v>
      </c>
      <c r="F789" s="70"/>
      <c r="G789" s="101"/>
    </row>
    <row r="790" spans="1:7" x14ac:dyDescent="0.3">
      <c r="A790" s="288" t="s">
        <v>320</v>
      </c>
      <c r="B790" s="69" t="s">
        <v>338</v>
      </c>
      <c r="C790" s="194"/>
      <c r="D790" s="621" t="s">
        <v>207</v>
      </c>
      <c r="E790" s="622" t="s">
        <v>207</v>
      </c>
      <c r="F790" s="70"/>
      <c r="G790" s="289"/>
    </row>
    <row r="791" spans="1:7" x14ac:dyDescent="0.3">
      <c r="A791" s="290" t="s">
        <v>428</v>
      </c>
      <c r="B791" s="125"/>
      <c r="C791" s="194"/>
      <c r="D791" s="283" t="s">
        <v>207</v>
      </c>
      <c r="E791" s="283"/>
      <c r="F791" s="69"/>
      <c r="G791" s="101" t="s">
        <v>347</v>
      </c>
    </row>
    <row r="792" spans="1:7" x14ac:dyDescent="0.3">
      <c r="A792" s="285" t="s">
        <v>246</v>
      </c>
      <c r="B792" s="137"/>
      <c r="C792" s="194"/>
      <c r="D792" s="282"/>
      <c r="E792" s="69"/>
      <c r="F792" s="69" t="s">
        <v>437</v>
      </c>
      <c r="G792" s="291" t="s">
        <v>42</v>
      </c>
    </row>
    <row r="793" spans="1:7" x14ac:dyDescent="0.3">
      <c r="A793" s="47"/>
      <c r="B793" s="163"/>
      <c r="C793" s="22"/>
      <c r="D793" s="48"/>
      <c r="F793" s="6"/>
      <c r="G793" s="2"/>
    </row>
    <row r="794" spans="1:7" ht="15" thickBot="1" x14ac:dyDescent="0.35">
      <c r="A794" s="188"/>
      <c r="B794" s="189"/>
      <c r="C794" s="23"/>
      <c r="D794" s="190"/>
      <c r="E794" s="4"/>
      <c r="F794" s="7"/>
      <c r="G794" s="5"/>
    </row>
    <row r="795" spans="1:7" x14ac:dyDescent="0.3">
      <c r="A795" s="60" t="s">
        <v>236</v>
      </c>
      <c r="B795" s="162"/>
      <c r="C795" s="61" t="s">
        <v>239</v>
      </c>
      <c r="D795" s="62"/>
      <c r="E795" s="62"/>
      <c r="F795" s="63"/>
      <c r="G795" s="64"/>
    </row>
    <row r="796" spans="1:7" ht="43.2" x14ac:dyDescent="0.3">
      <c r="A796" s="267" t="s">
        <v>270</v>
      </c>
      <c r="B796" s="141"/>
      <c r="C796" s="263"/>
      <c r="D796" s="264"/>
      <c r="E796" s="303" t="s">
        <v>474</v>
      </c>
      <c r="F796" s="265"/>
      <c r="G796" s="268" t="s">
        <v>427</v>
      </c>
    </row>
    <row r="797" spans="1:7" x14ac:dyDescent="0.3">
      <c r="A797" s="267" t="s">
        <v>276</v>
      </c>
      <c r="B797" s="141"/>
      <c r="C797" s="263"/>
      <c r="D797" s="263" t="s">
        <v>449</v>
      </c>
      <c r="E797" s="265" t="s">
        <v>493</v>
      </c>
      <c r="F797" s="265" t="s">
        <v>382</v>
      </c>
      <c r="G797" s="269" t="s">
        <v>439</v>
      </c>
    </row>
    <row r="798" spans="1:7" x14ac:dyDescent="0.3">
      <c r="A798" s="267" t="s">
        <v>277</v>
      </c>
      <c r="B798" s="141"/>
      <c r="C798" s="263"/>
      <c r="D798" s="263" t="s">
        <v>278</v>
      </c>
      <c r="E798" s="265" t="s">
        <v>494</v>
      </c>
      <c r="F798" s="265"/>
      <c r="G798" s="269" t="s">
        <v>385</v>
      </c>
    </row>
    <row r="799" spans="1:7" x14ac:dyDescent="0.3">
      <c r="A799" s="267" t="s">
        <v>280</v>
      </c>
      <c r="B799" s="141"/>
      <c r="C799" s="263"/>
      <c r="D799" s="263" t="s">
        <v>281</v>
      </c>
      <c r="E799" s="265" t="s">
        <v>282</v>
      </c>
      <c r="F799" s="265"/>
      <c r="G799" s="269" t="s">
        <v>409</v>
      </c>
    </row>
    <row r="800" spans="1:7" ht="52.8" customHeight="1" x14ac:dyDescent="0.3">
      <c r="A800" s="267" t="s">
        <v>424</v>
      </c>
      <c r="B800" s="141"/>
      <c r="C800" s="610" t="s">
        <v>473</v>
      </c>
      <c r="D800" s="611"/>
      <c r="E800" s="265" t="s">
        <v>440</v>
      </c>
      <c r="F800" s="265" t="s">
        <v>442</v>
      </c>
      <c r="G800" s="268" t="s">
        <v>495</v>
      </c>
    </row>
    <row r="801" spans="1:9" x14ac:dyDescent="0.3">
      <c r="A801" s="226"/>
      <c r="B801" s="227"/>
      <c r="C801" s="228"/>
      <c r="D801" s="229"/>
      <c r="E801" s="230"/>
      <c r="F801" s="231"/>
      <c r="G801" s="232"/>
      <c r="I801" s="294" t="s">
        <v>481</v>
      </c>
    </row>
    <row r="802" spans="1:9" x14ac:dyDescent="0.3">
      <c r="A802" s="233" t="s">
        <v>289</v>
      </c>
      <c r="B802" s="227"/>
      <c r="C802" s="228"/>
      <c r="D802" s="229"/>
      <c r="E802" s="230"/>
      <c r="F802" s="231"/>
      <c r="G802" s="232"/>
      <c r="I802" s="294" t="s">
        <v>482</v>
      </c>
    </row>
    <row r="803" spans="1:9" x14ac:dyDescent="0.3">
      <c r="A803" s="226" t="s">
        <v>284</v>
      </c>
      <c r="B803" s="227"/>
      <c r="C803" s="228"/>
      <c r="D803" s="229" t="s">
        <v>496</v>
      </c>
      <c r="E803" s="230"/>
      <c r="F803" s="231"/>
      <c r="G803" s="232"/>
      <c r="I803" t="s">
        <v>483</v>
      </c>
    </row>
    <row r="804" spans="1:9" x14ac:dyDescent="0.3">
      <c r="A804" s="226" t="s">
        <v>285</v>
      </c>
      <c r="B804" s="227"/>
      <c r="C804" s="228"/>
      <c r="D804" s="229" t="s">
        <v>496</v>
      </c>
      <c r="E804" s="230"/>
      <c r="F804" s="231"/>
      <c r="G804" s="232"/>
    </row>
    <row r="805" spans="1:9" x14ac:dyDescent="0.3">
      <c r="A805" s="226" t="s">
        <v>286</v>
      </c>
      <c r="B805" s="227"/>
      <c r="C805" s="228"/>
      <c r="D805" s="229" t="s">
        <v>496</v>
      </c>
      <c r="E805" s="230"/>
      <c r="F805" s="231"/>
      <c r="G805" s="232"/>
    </row>
    <row r="806" spans="1:9" x14ac:dyDescent="0.3">
      <c r="A806" s="226" t="s">
        <v>287</v>
      </c>
      <c r="B806" s="227"/>
      <c r="C806" s="228"/>
      <c r="D806" s="229" t="s">
        <v>496</v>
      </c>
      <c r="E806" s="230"/>
      <c r="F806" s="231"/>
      <c r="G806" s="232"/>
    </row>
    <row r="807" spans="1:9" x14ac:dyDescent="0.3">
      <c r="A807" s="226" t="s">
        <v>288</v>
      </c>
      <c r="B807" s="227"/>
      <c r="C807" s="228"/>
      <c r="D807" s="229" t="s">
        <v>496</v>
      </c>
      <c r="E807" s="230"/>
      <c r="F807" s="231"/>
      <c r="G807" s="232"/>
    </row>
    <row r="808" spans="1:9" ht="14.4" customHeight="1" x14ac:dyDescent="0.3">
      <c r="A808" s="640" t="s">
        <v>290</v>
      </c>
      <c r="B808" s="641"/>
      <c r="C808" s="228"/>
      <c r="D808" s="229"/>
      <c r="E808" s="230"/>
      <c r="F808" s="231"/>
      <c r="G808" s="232"/>
    </row>
    <row r="809" spans="1:9" x14ac:dyDescent="0.3">
      <c r="A809" s="234" t="s">
        <v>291</v>
      </c>
      <c r="B809" s="235"/>
      <c r="C809" s="228"/>
      <c r="D809" s="229"/>
      <c r="E809" s="236"/>
      <c r="F809" s="231"/>
      <c r="G809" s="232" t="s">
        <v>295</v>
      </c>
    </row>
    <row r="810" spans="1:9" x14ac:dyDescent="0.3">
      <c r="A810" s="234" t="s">
        <v>292</v>
      </c>
      <c r="B810" s="235"/>
      <c r="C810" s="228"/>
      <c r="D810" s="229"/>
      <c r="E810" s="236"/>
      <c r="F810" s="231"/>
      <c r="G810" s="232" t="s">
        <v>42</v>
      </c>
    </row>
    <row r="811" spans="1:9" x14ac:dyDescent="0.3">
      <c r="A811" s="234" t="s">
        <v>293</v>
      </c>
      <c r="B811" s="235"/>
      <c r="C811" s="228"/>
      <c r="D811" s="229"/>
      <c r="E811" s="236"/>
      <c r="F811" s="231"/>
      <c r="G811" s="232" t="s">
        <v>410</v>
      </c>
    </row>
    <row r="812" spans="1:9" x14ac:dyDescent="0.3">
      <c r="A812" s="234" t="s">
        <v>294</v>
      </c>
      <c r="B812" s="235"/>
      <c r="C812" s="228"/>
      <c r="D812" s="229"/>
      <c r="E812" s="236"/>
      <c r="F812" s="231"/>
      <c r="G812" s="232" t="s">
        <v>497</v>
      </c>
    </row>
    <row r="813" spans="1:9" x14ac:dyDescent="0.3">
      <c r="A813" s="237"/>
      <c r="B813" s="235"/>
      <c r="C813" s="228"/>
      <c r="D813" s="229"/>
      <c r="E813" s="230"/>
      <c r="F813" s="231"/>
      <c r="G813" s="232"/>
    </row>
    <row r="814" spans="1:9" ht="14.4" customHeight="1" x14ac:dyDescent="0.3">
      <c r="A814" s="606" t="s">
        <v>452</v>
      </c>
      <c r="B814" s="602"/>
      <c r="C814" s="228"/>
      <c r="D814" s="229" t="s">
        <v>450</v>
      </c>
      <c r="E814" s="238"/>
      <c r="F814" s="239"/>
      <c r="G814" s="280" t="s">
        <v>454</v>
      </c>
    </row>
    <row r="815" spans="1:9" ht="14.4" customHeight="1" x14ac:dyDescent="0.3">
      <c r="A815" s="606" t="s">
        <v>451</v>
      </c>
      <c r="B815" s="602"/>
      <c r="C815" s="228"/>
      <c r="D815" s="229" t="s">
        <v>450</v>
      </c>
      <c r="E815" s="238"/>
      <c r="F815" s="239"/>
      <c r="G815" s="280" t="s">
        <v>454</v>
      </c>
    </row>
    <row r="816" spans="1:9" ht="14.4" customHeight="1" x14ac:dyDescent="0.3">
      <c r="A816" s="606" t="s">
        <v>453</v>
      </c>
      <c r="B816" s="602"/>
      <c r="C816" s="228"/>
      <c r="D816" s="229" t="s">
        <v>450</v>
      </c>
      <c r="E816" s="238"/>
      <c r="F816" s="239"/>
      <c r="G816" s="280" t="s">
        <v>454</v>
      </c>
    </row>
    <row r="817" spans="1:7" x14ac:dyDescent="0.3">
      <c r="A817" s="241"/>
      <c r="B817" s="240"/>
      <c r="C817" s="228"/>
      <c r="D817" s="229"/>
      <c r="E817" s="238"/>
      <c r="F817" s="239"/>
      <c r="G817" s="232"/>
    </row>
    <row r="818" spans="1:7" ht="14.4" customHeight="1" x14ac:dyDescent="0.3">
      <c r="A818" s="606" t="s">
        <v>455</v>
      </c>
      <c r="B818" s="602"/>
      <c r="C818" s="228"/>
      <c r="D818" s="275" t="s">
        <v>457</v>
      </c>
      <c r="E818" s="240"/>
      <c r="F818" s="239"/>
      <c r="G818" s="281" t="s">
        <v>456</v>
      </c>
    </row>
    <row r="819" spans="1:7" ht="14.4" customHeight="1" x14ac:dyDescent="0.3">
      <c r="A819" s="606" t="s">
        <v>458</v>
      </c>
      <c r="B819" s="602"/>
      <c r="C819" s="228"/>
      <c r="D819" s="275" t="s">
        <v>450</v>
      </c>
      <c r="E819" s="240"/>
      <c r="F819" s="239"/>
      <c r="G819" s="281" t="s">
        <v>456</v>
      </c>
    </row>
    <row r="820" spans="1:7" ht="14.4" customHeight="1" x14ac:dyDescent="0.3">
      <c r="A820" s="606" t="s">
        <v>459</v>
      </c>
      <c r="B820" s="602"/>
      <c r="C820" s="228"/>
      <c r="D820" s="275" t="s">
        <v>450</v>
      </c>
      <c r="E820" s="240"/>
      <c r="F820" s="239"/>
      <c r="G820" s="281" t="s">
        <v>456</v>
      </c>
    </row>
    <row r="821" spans="1:7" ht="14.4" customHeight="1" x14ac:dyDescent="0.3">
      <c r="A821" s="606" t="s">
        <v>460</v>
      </c>
      <c r="B821" s="602"/>
      <c r="C821" s="228"/>
      <c r="D821" s="275" t="s">
        <v>450</v>
      </c>
      <c r="E821" s="240"/>
      <c r="F821" s="239"/>
      <c r="G821" s="281" t="s">
        <v>456</v>
      </c>
    </row>
    <row r="822" spans="1:7" ht="14.4" customHeight="1" x14ac:dyDescent="0.3">
      <c r="A822" s="606" t="s">
        <v>461</v>
      </c>
      <c r="B822" s="602"/>
      <c r="C822" s="228"/>
      <c r="D822" s="275" t="s">
        <v>457</v>
      </c>
      <c r="E822" s="240"/>
      <c r="F822" s="239"/>
      <c r="G822" s="281" t="s">
        <v>456</v>
      </c>
    </row>
    <row r="823" spans="1:7" ht="14.4" customHeight="1" x14ac:dyDescent="0.3">
      <c r="A823" s="606" t="s">
        <v>462</v>
      </c>
      <c r="B823" s="602"/>
      <c r="C823" s="228"/>
      <c r="D823" s="275" t="s">
        <v>450</v>
      </c>
      <c r="E823" s="240"/>
      <c r="F823" s="239"/>
      <c r="G823" s="281" t="s">
        <v>456</v>
      </c>
    </row>
    <row r="824" spans="1:7" ht="14.4" customHeight="1" x14ac:dyDescent="0.3">
      <c r="A824" s="606" t="s">
        <v>463</v>
      </c>
      <c r="B824" s="602"/>
      <c r="C824" s="228"/>
      <c r="D824" s="275" t="s">
        <v>450</v>
      </c>
      <c r="E824" s="240"/>
      <c r="F824" s="239"/>
      <c r="G824" s="281" t="s">
        <v>456</v>
      </c>
    </row>
    <row r="825" spans="1:7" ht="14.4" customHeight="1" x14ac:dyDescent="0.3">
      <c r="A825" s="606" t="s">
        <v>464</v>
      </c>
      <c r="B825" s="602"/>
      <c r="C825" s="228"/>
      <c r="D825" s="275" t="s">
        <v>450</v>
      </c>
      <c r="E825" s="240"/>
      <c r="F825" s="239"/>
      <c r="G825" s="281" t="s">
        <v>456</v>
      </c>
    </row>
    <row r="826" spans="1:7" x14ac:dyDescent="0.3">
      <c r="A826" s="241"/>
      <c r="B826" s="240"/>
      <c r="C826" s="228"/>
      <c r="D826" s="275"/>
      <c r="E826" s="278" t="s">
        <v>469</v>
      </c>
      <c r="F826" s="239"/>
      <c r="G826" s="232"/>
    </row>
    <row r="827" spans="1:7" ht="14.4" customHeight="1" x14ac:dyDescent="0.3">
      <c r="A827" s="606" t="s">
        <v>465</v>
      </c>
      <c r="B827" s="602"/>
      <c r="C827" s="228"/>
      <c r="D827" s="275" t="s">
        <v>457</v>
      </c>
      <c r="E827" s="235"/>
      <c r="F827" s="239"/>
      <c r="G827" s="281" t="s">
        <v>468</v>
      </c>
    </row>
    <row r="828" spans="1:7" ht="14.4" customHeight="1" x14ac:dyDescent="0.3">
      <c r="A828" s="606" t="s">
        <v>466</v>
      </c>
      <c r="B828" s="602"/>
      <c r="C828" s="228"/>
      <c r="D828" s="275" t="s">
        <v>457</v>
      </c>
      <c r="E828" s="235"/>
      <c r="F828" s="239"/>
      <c r="G828" s="281" t="s">
        <v>468</v>
      </c>
    </row>
    <row r="829" spans="1:7" x14ac:dyDescent="0.3">
      <c r="A829" s="606" t="s">
        <v>467</v>
      </c>
      <c r="B829" s="602"/>
      <c r="C829" s="228"/>
      <c r="D829" s="275" t="s">
        <v>450</v>
      </c>
      <c r="E829" s="235"/>
      <c r="F829" s="239"/>
      <c r="G829" s="281" t="s">
        <v>468</v>
      </c>
    </row>
    <row r="830" spans="1:7" ht="14.4" customHeight="1" x14ac:dyDescent="0.3">
      <c r="A830" s="606" t="s">
        <v>465</v>
      </c>
      <c r="B830" s="602"/>
      <c r="C830" s="228"/>
      <c r="D830" s="229"/>
      <c r="E830" s="279" t="s">
        <v>470</v>
      </c>
      <c r="F830" s="239"/>
      <c r="G830" s="232"/>
    </row>
    <row r="831" spans="1:7" x14ac:dyDescent="0.3">
      <c r="A831" s="606" t="s">
        <v>500</v>
      </c>
      <c r="B831" s="602"/>
      <c r="C831" s="228"/>
      <c r="D831" s="229"/>
      <c r="E831" s="235"/>
      <c r="F831" s="239"/>
      <c r="G831" s="232"/>
    </row>
    <row r="832" spans="1:7" x14ac:dyDescent="0.3">
      <c r="A832" s="241"/>
      <c r="B832" s="235"/>
      <c r="C832" s="228"/>
      <c r="D832" s="229"/>
      <c r="E832" s="230"/>
      <c r="F832" s="231"/>
      <c r="G832" s="232"/>
    </row>
    <row r="833" spans="1:7" x14ac:dyDescent="0.3">
      <c r="A833" s="242" t="s">
        <v>316</v>
      </c>
      <c r="B833" s="235"/>
      <c r="C833" s="228"/>
      <c r="D833" s="229"/>
      <c r="E833" s="230"/>
      <c r="F833" s="231"/>
      <c r="G833" s="232"/>
    </row>
    <row r="834" spans="1:7" ht="27" customHeight="1" x14ac:dyDescent="0.3">
      <c r="A834" s="636" t="s">
        <v>302</v>
      </c>
      <c r="B834" s="637"/>
      <c r="C834" s="228"/>
      <c r="D834" s="229"/>
      <c r="E834" s="230"/>
      <c r="F834" s="243"/>
      <c r="G834" s="244" t="s">
        <v>375</v>
      </c>
    </row>
    <row r="835" spans="1:7" ht="43.2" x14ac:dyDescent="0.3">
      <c r="A835" s="606" t="s">
        <v>304</v>
      </c>
      <c r="B835" s="602"/>
      <c r="C835" s="228"/>
      <c r="D835" s="229" t="s">
        <v>498</v>
      </c>
      <c r="E835" s="230"/>
      <c r="F835" s="245">
        <v>45425</v>
      </c>
      <c r="G835" s="244" t="s">
        <v>377</v>
      </c>
    </row>
    <row r="836" spans="1:7" x14ac:dyDescent="0.3">
      <c r="A836" s="636" t="s">
        <v>306</v>
      </c>
      <c r="B836" s="637"/>
      <c r="C836" s="228"/>
      <c r="D836" s="229"/>
      <c r="E836" s="230"/>
      <c r="F836" s="243"/>
      <c r="G836" s="246"/>
    </row>
    <row r="837" spans="1:7" x14ac:dyDescent="0.3">
      <c r="A837" s="226"/>
      <c r="B837" s="235"/>
      <c r="C837" s="228"/>
      <c r="D837" s="229"/>
      <c r="E837" s="230"/>
      <c r="F837" s="231"/>
      <c r="G837" s="232"/>
    </row>
    <row r="838" spans="1:7" x14ac:dyDescent="0.3">
      <c r="A838" s="237" t="s">
        <v>414</v>
      </c>
      <c r="B838" s="230"/>
      <c r="C838" s="231"/>
      <c r="D838" s="230"/>
      <c r="E838" s="230"/>
      <c r="F838" s="231"/>
      <c r="G838" s="232"/>
    </row>
    <row r="839" spans="1:7" x14ac:dyDescent="0.3">
      <c r="A839" s="237" t="s">
        <v>419</v>
      </c>
      <c r="B839" s="230"/>
      <c r="C839" s="231"/>
      <c r="D839" s="230"/>
      <c r="E839" s="230"/>
      <c r="F839" s="247">
        <v>45441</v>
      </c>
      <c r="G839" s="232"/>
    </row>
    <row r="840" spans="1:7" x14ac:dyDescent="0.3">
      <c r="A840" s="237" t="s">
        <v>415</v>
      </c>
      <c r="B840" s="230"/>
      <c r="C840" s="231"/>
      <c r="D840" s="230"/>
      <c r="E840" s="230"/>
      <c r="F840" s="231"/>
      <c r="G840" s="232"/>
    </row>
    <row r="841" spans="1:7" x14ac:dyDescent="0.3">
      <c r="A841" s="237" t="s">
        <v>420</v>
      </c>
      <c r="B841" s="230"/>
      <c r="C841" s="231"/>
      <c r="D841" s="230"/>
      <c r="E841" s="230"/>
      <c r="F841" s="231"/>
      <c r="G841" s="232"/>
    </row>
    <row r="842" spans="1:7" x14ac:dyDescent="0.3">
      <c r="A842" s="237" t="s">
        <v>421</v>
      </c>
      <c r="B842" s="230"/>
      <c r="C842" s="231"/>
      <c r="D842" s="230" t="s">
        <v>446</v>
      </c>
      <c r="F842" s="231"/>
      <c r="G842" s="232" t="s">
        <v>444</v>
      </c>
    </row>
    <row r="843" spans="1:7" x14ac:dyDescent="0.3">
      <c r="A843" s="237"/>
      <c r="B843" s="230"/>
      <c r="C843" s="231"/>
      <c r="D843" s="230"/>
      <c r="E843" s="230"/>
      <c r="F843" s="231"/>
      <c r="G843" s="232"/>
    </row>
    <row r="844" spans="1:7" x14ac:dyDescent="0.3">
      <c r="A844" s="237" t="s">
        <v>422</v>
      </c>
      <c r="B844" s="230"/>
      <c r="C844" s="231"/>
      <c r="D844" s="230"/>
      <c r="E844" s="230"/>
      <c r="F844" s="247">
        <v>45441</v>
      </c>
      <c r="G844" s="232"/>
    </row>
    <row r="845" spans="1:7" x14ac:dyDescent="0.3">
      <c r="A845" s="237"/>
      <c r="B845" s="230"/>
      <c r="C845" s="231"/>
      <c r="D845" s="230"/>
      <c r="E845" s="230"/>
      <c r="F845" s="231"/>
      <c r="G845" s="232"/>
    </row>
    <row r="846" spans="1:7" x14ac:dyDescent="0.3">
      <c r="A846" s="237" t="s">
        <v>423</v>
      </c>
      <c r="B846" s="230"/>
      <c r="C846" s="231"/>
      <c r="D846" s="230" t="s">
        <v>447</v>
      </c>
      <c r="F846" s="247">
        <v>45435</v>
      </c>
      <c r="G846" s="232" t="s">
        <v>445</v>
      </c>
    </row>
    <row r="847" spans="1:7" ht="15" thickBot="1" x14ac:dyDescent="0.35">
      <c r="A847" s="253"/>
      <c r="B847" s="270"/>
      <c r="C847" s="255"/>
      <c r="D847" s="271"/>
      <c r="E847" s="254"/>
      <c r="F847" s="256"/>
      <c r="G847" s="257"/>
    </row>
    <row r="848" spans="1:7" x14ac:dyDescent="0.3">
      <c r="A848" s="248" t="s">
        <v>9</v>
      </c>
      <c r="B848" s="249"/>
      <c r="C848" s="266" t="s">
        <v>212</v>
      </c>
      <c r="D848" s="250"/>
      <c r="E848" s="250"/>
      <c r="F848" s="251"/>
      <c r="G848" s="252"/>
    </row>
    <row r="849" spans="1:7" x14ac:dyDescent="0.3">
      <c r="A849" s="226" t="s">
        <v>308</v>
      </c>
      <c r="B849" s="235"/>
      <c r="C849" s="228"/>
      <c r="D849" s="229"/>
      <c r="E849" s="230"/>
      <c r="F849" s="231"/>
      <c r="G849" s="232" t="s">
        <v>42</v>
      </c>
    </row>
    <row r="850" spans="1:7" x14ac:dyDescent="0.3">
      <c r="A850" s="237"/>
      <c r="B850" s="230"/>
      <c r="C850" s="228"/>
      <c r="D850" s="230"/>
      <c r="E850" s="230"/>
      <c r="F850" s="231"/>
      <c r="G850" s="232"/>
    </row>
    <row r="851" spans="1:7" ht="27.6" customHeight="1" x14ac:dyDescent="0.3">
      <c r="A851" s="638" t="s">
        <v>499</v>
      </c>
      <c r="B851" s="639"/>
      <c r="C851" s="228"/>
      <c r="D851" s="230"/>
      <c r="E851" s="230"/>
      <c r="F851" s="231"/>
      <c r="G851" s="232"/>
    </row>
    <row r="852" spans="1:7" x14ac:dyDescent="0.3">
      <c r="A852" s="237"/>
      <c r="B852" s="230"/>
      <c r="C852" s="228"/>
      <c r="D852" s="230"/>
      <c r="E852" s="230"/>
      <c r="F852" s="231"/>
      <c r="G852" s="232"/>
    </row>
    <row r="853" spans="1:7" ht="15" thickBot="1" x14ac:dyDescent="0.35">
      <c r="A853" s="253"/>
      <c r="B853" s="254"/>
      <c r="C853" s="255"/>
      <c r="D853" s="254"/>
      <c r="E853" s="254"/>
      <c r="F853" s="256"/>
      <c r="G853" s="257"/>
    </row>
    <row r="854" spans="1:7" x14ac:dyDescent="0.3">
      <c r="A854" s="230"/>
      <c r="B854" s="230"/>
      <c r="C854" s="316"/>
      <c r="D854" s="230"/>
      <c r="E854" s="230"/>
      <c r="F854" s="230"/>
      <c r="G854" s="230"/>
    </row>
    <row r="855" spans="1:7" x14ac:dyDescent="0.3">
      <c r="A855" s="230"/>
      <c r="B855" s="230"/>
      <c r="C855" s="316"/>
      <c r="D855" s="230"/>
      <c r="E855" s="230"/>
      <c r="F855" s="230"/>
      <c r="G855" s="230"/>
    </row>
    <row r="858" spans="1:7" ht="28.8" x14ac:dyDescent="0.3">
      <c r="A858" s="596" t="s">
        <v>7</v>
      </c>
      <c r="B858" s="596"/>
      <c r="C858" s="596"/>
      <c r="D858" s="596"/>
      <c r="E858" s="596"/>
      <c r="F858" s="596"/>
      <c r="G858" s="596"/>
    </row>
    <row r="859" spans="1:7" ht="28.8" x14ac:dyDescent="0.3">
      <c r="A859" s="150"/>
      <c r="B859" s="150"/>
      <c r="C859" s="150"/>
      <c r="D859" s="150"/>
      <c r="E859" s="150"/>
      <c r="F859" s="150"/>
      <c r="G859" s="150"/>
    </row>
    <row r="860" spans="1:7" ht="21.6" thickBot="1" x14ac:dyDescent="0.45">
      <c r="A860" s="597" t="s">
        <v>504</v>
      </c>
      <c r="B860" s="597"/>
      <c r="C860" s="597"/>
      <c r="D860" s="597"/>
      <c r="E860" s="597"/>
      <c r="F860" s="597"/>
      <c r="G860" s="597"/>
    </row>
    <row r="861" spans="1:7" ht="18.600000000000001" thickBot="1" x14ac:dyDescent="0.35">
      <c r="A861" s="20" t="s">
        <v>235</v>
      </c>
      <c r="B861" s="284" t="s">
        <v>34</v>
      </c>
      <c r="C861" s="21" t="s">
        <v>1</v>
      </c>
      <c r="D861" s="598" t="s">
        <v>4</v>
      </c>
      <c r="E861" s="599"/>
      <c r="F861" s="21" t="s">
        <v>2</v>
      </c>
      <c r="G861" s="19" t="s">
        <v>3</v>
      </c>
    </row>
    <row r="862" spans="1:7" x14ac:dyDescent="0.3">
      <c r="A862" s="219" t="s">
        <v>237</v>
      </c>
      <c r="B862" s="164"/>
      <c r="C862" s="61" t="s">
        <v>208</v>
      </c>
      <c r="D862" s="62"/>
      <c r="E862" s="62"/>
      <c r="F862" s="63"/>
      <c r="G862" s="64"/>
    </row>
    <row r="863" spans="1:7" ht="28.8" x14ac:dyDescent="0.3">
      <c r="A863" s="13" t="s">
        <v>247</v>
      </c>
      <c r="B863" s="169" t="s">
        <v>248</v>
      </c>
      <c r="C863" s="72"/>
      <c r="D863" s="634"/>
      <c r="E863" s="635"/>
      <c r="F863" s="191">
        <v>45443</v>
      </c>
      <c r="G863" s="314" t="s">
        <v>505</v>
      </c>
    </row>
    <row r="864" spans="1:7" ht="28.8" x14ac:dyDescent="0.3">
      <c r="A864" s="300" t="s">
        <v>506</v>
      </c>
      <c r="B864" s="174" t="s">
        <v>234</v>
      </c>
      <c r="C864" s="69"/>
      <c r="D864" s="621"/>
      <c r="E864" s="622"/>
      <c r="F864" s="70"/>
      <c r="G864" s="295" t="s">
        <v>507</v>
      </c>
    </row>
    <row r="865" spans="1:7" x14ac:dyDescent="0.3">
      <c r="A865" s="175" t="s">
        <v>228</v>
      </c>
      <c r="B865" s="174" t="e">
        <v>#REF!</v>
      </c>
      <c r="C865" s="69"/>
      <c r="D865" s="197" t="s">
        <v>429</v>
      </c>
      <c r="E865" s="198"/>
      <c r="F865" s="70"/>
      <c r="G865" s="192" t="s">
        <v>42</v>
      </c>
    </row>
    <row r="866" spans="1:7" x14ac:dyDescent="0.3">
      <c r="A866" s="1" t="s">
        <v>508</v>
      </c>
      <c r="B866" t="s">
        <v>509</v>
      </c>
      <c r="C866" s="6"/>
      <c r="D866" s="621" t="s">
        <v>262</v>
      </c>
      <c r="E866" s="622"/>
      <c r="F866" s="46"/>
      <c r="G866" s="631" t="s">
        <v>510</v>
      </c>
    </row>
    <row r="867" spans="1:7" x14ac:dyDescent="0.3">
      <c r="A867" s="186" t="s">
        <v>323</v>
      </c>
      <c r="B867" s="81" t="s">
        <v>250</v>
      </c>
      <c r="C867" s="22"/>
      <c r="D867" s="612" t="s">
        <v>61</v>
      </c>
      <c r="E867" s="613"/>
      <c r="F867" s="46"/>
      <c r="G867" s="632"/>
    </row>
    <row r="868" spans="1:7" x14ac:dyDescent="0.3">
      <c r="A868" s="1" t="s">
        <v>335</v>
      </c>
      <c r="B868" t="s">
        <v>337</v>
      </c>
      <c r="C868" s="6"/>
      <c r="D868" s="612" t="s">
        <v>61</v>
      </c>
      <c r="E868" s="613"/>
      <c r="F868" s="6"/>
      <c r="G868" s="632"/>
    </row>
    <row r="869" spans="1:7" x14ac:dyDescent="0.3">
      <c r="A869" s="186" t="s">
        <v>476</v>
      </c>
      <c r="B869" t="s">
        <v>249</v>
      </c>
      <c r="C869" s="6"/>
      <c r="D869" s="612" t="s">
        <v>511</v>
      </c>
      <c r="E869" s="613"/>
      <c r="F869" s="46"/>
      <c r="G869" s="632"/>
    </row>
    <row r="870" spans="1:7" x14ac:dyDescent="0.3">
      <c r="A870" s="1" t="s">
        <v>242</v>
      </c>
      <c r="B870" t="s">
        <v>324</v>
      </c>
      <c r="C870" s="6"/>
      <c r="D870" s="612" t="s">
        <v>512</v>
      </c>
      <c r="E870" s="613"/>
      <c r="F870" s="6"/>
      <c r="G870" s="632"/>
    </row>
    <row r="871" spans="1:7" x14ac:dyDescent="0.3">
      <c r="A871" s="13" t="s">
        <v>320</v>
      </c>
      <c r="B871" s="169" t="s">
        <v>338</v>
      </c>
      <c r="C871" s="193"/>
      <c r="D871" s="612" t="s">
        <v>61</v>
      </c>
      <c r="E871" s="613"/>
      <c r="F871" s="191"/>
      <c r="G871" s="633"/>
    </row>
    <row r="872" spans="1:7" x14ac:dyDescent="0.3">
      <c r="A872" s="175" t="s">
        <v>243</v>
      </c>
      <c r="B872" s="174" t="s">
        <v>251</v>
      </c>
      <c r="C872" s="69"/>
      <c r="D872" s="621" t="s">
        <v>262</v>
      </c>
      <c r="E872" s="622"/>
      <c r="F872" s="69"/>
      <c r="G872" s="223"/>
    </row>
    <row r="873" spans="1:7" ht="28.8" x14ac:dyDescent="0.3">
      <c r="A873" s="175" t="s">
        <v>332</v>
      </c>
      <c r="B873" s="174" t="s">
        <v>350</v>
      </c>
      <c r="C873" s="194"/>
      <c r="D873" s="621" t="s">
        <v>513</v>
      </c>
      <c r="E873" s="622"/>
      <c r="F873" s="70"/>
      <c r="G873" s="295" t="s">
        <v>514</v>
      </c>
    </row>
    <row r="874" spans="1:7" ht="28.8" x14ac:dyDescent="0.3">
      <c r="A874" s="1" t="s">
        <v>348</v>
      </c>
      <c r="B874" t="e">
        <f>#REF!</f>
        <v>#REF!</v>
      </c>
      <c r="C874" s="22"/>
      <c r="D874" s="185"/>
      <c r="E874" s="185"/>
      <c r="F874" s="46"/>
      <c r="G874" s="310" t="s">
        <v>515</v>
      </c>
    </row>
    <row r="875" spans="1:7" ht="28.8" x14ac:dyDescent="0.3">
      <c r="A875" s="285" t="s">
        <v>478</v>
      </c>
      <c r="B875" s="296" t="s">
        <v>417</v>
      </c>
      <c r="C875" s="297"/>
      <c r="D875" s="627" t="s">
        <v>262</v>
      </c>
      <c r="E875" s="628"/>
      <c r="F875" s="298"/>
      <c r="G875" s="299" t="s">
        <v>479</v>
      </c>
    </row>
    <row r="876" spans="1:7" x14ac:dyDescent="0.3">
      <c r="A876" s="300" t="s">
        <v>491</v>
      </c>
      <c r="B876" s="301" t="s">
        <v>516</v>
      </c>
      <c r="C876" s="297"/>
      <c r="D876" s="627" t="s">
        <v>517</v>
      </c>
      <c r="E876" s="628"/>
      <c r="F876" s="298"/>
      <c r="G876" s="302"/>
    </row>
    <row r="877" spans="1:7" ht="43.2" x14ac:dyDescent="0.3">
      <c r="A877" s="47" t="s">
        <v>518</v>
      </c>
      <c r="B877" s="125" t="s">
        <v>519</v>
      </c>
      <c r="C877" s="311"/>
      <c r="D877" s="629" t="s">
        <v>520</v>
      </c>
      <c r="E877" s="630"/>
      <c r="F877" s="312"/>
      <c r="G877" s="313"/>
    </row>
    <row r="878" spans="1:7" ht="28.8" x14ac:dyDescent="0.3">
      <c r="A878" s="47" t="s">
        <v>521</v>
      </c>
      <c r="B878" s="174" t="s">
        <v>522</v>
      </c>
      <c r="C878" s="311"/>
      <c r="D878" s="627" t="s">
        <v>262</v>
      </c>
      <c r="E878" s="628"/>
      <c r="F878" s="312">
        <v>45527</v>
      </c>
      <c r="G878" s="313"/>
    </row>
    <row r="879" spans="1:7" x14ac:dyDescent="0.3">
      <c r="A879" s="47" t="s">
        <v>523</v>
      </c>
      <c r="B879" s="174" t="s">
        <v>524</v>
      </c>
      <c r="C879" s="311" t="s">
        <v>525</v>
      </c>
      <c r="D879" s="629" t="s">
        <v>526</v>
      </c>
      <c r="E879" s="630"/>
      <c r="F879" s="312">
        <v>45527</v>
      </c>
      <c r="G879" s="313"/>
    </row>
    <row r="880" spans="1:7" x14ac:dyDescent="0.3">
      <c r="A880" s="47"/>
      <c r="C880" s="311"/>
      <c r="D880" s="159"/>
      <c r="E880" s="159"/>
      <c r="F880" s="312"/>
      <c r="G880" s="313"/>
    </row>
    <row r="881" spans="1:7" ht="15" thickBot="1" x14ac:dyDescent="0.35">
      <c r="A881" s="47"/>
      <c r="B881" s="163"/>
      <c r="C881" s="22"/>
      <c r="D881" s="48"/>
      <c r="F881" s="46"/>
      <c r="G881" s="2"/>
    </row>
    <row r="882" spans="1:7" x14ac:dyDescent="0.3">
      <c r="A882" s="60" t="s">
        <v>238</v>
      </c>
      <c r="B882" s="162"/>
      <c r="C882" s="61" t="s">
        <v>211</v>
      </c>
      <c r="D882" s="62"/>
      <c r="E882" s="62"/>
      <c r="F882" s="63"/>
      <c r="G882" s="64"/>
    </row>
    <row r="883" spans="1:7" x14ac:dyDescent="0.3">
      <c r="A883" s="286" t="s">
        <v>346</v>
      </c>
      <c r="B883" s="69" t="s">
        <v>234</v>
      </c>
      <c r="C883" s="194" t="s">
        <v>471</v>
      </c>
      <c r="D883" s="69" t="s">
        <v>340</v>
      </c>
      <c r="E883" s="69"/>
      <c r="F883" s="69"/>
      <c r="G883" s="101" t="s">
        <v>347</v>
      </c>
    </row>
    <row r="884" spans="1:7" x14ac:dyDescent="0.3">
      <c r="A884" s="285" t="s">
        <v>335</v>
      </c>
      <c r="B884" s="69" t="s">
        <v>337</v>
      </c>
      <c r="C884" s="194"/>
      <c r="D884" s="282" t="s">
        <v>207</v>
      </c>
      <c r="E884" s="69"/>
      <c r="F884" s="70"/>
      <c r="G884" s="101"/>
    </row>
    <row r="885" spans="1:7" x14ac:dyDescent="0.3">
      <c r="A885" s="287" t="s">
        <v>323</v>
      </c>
      <c r="B885" s="125" t="s">
        <v>324</v>
      </c>
      <c r="C885" s="194"/>
      <c r="D885" s="197" t="s">
        <v>207</v>
      </c>
      <c r="E885" s="198" t="s">
        <v>207</v>
      </c>
      <c r="F885" s="70"/>
      <c r="G885" s="101"/>
    </row>
    <row r="886" spans="1:7" x14ac:dyDescent="0.3">
      <c r="A886" s="287" t="s">
        <v>370</v>
      </c>
      <c r="B886" s="69" t="s">
        <v>249</v>
      </c>
      <c r="C886" s="194"/>
      <c r="D886" s="621" t="s">
        <v>207</v>
      </c>
      <c r="E886" s="622" t="s">
        <v>207</v>
      </c>
      <c r="F886" s="70"/>
      <c r="G886" s="101"/>
    </row>
    <row r="887" spans="1:7" x14ac:dyDescent="0.3">
      <c r="A887" s="288" t="s">
        <v>320</v>
      </c>
      <c r="B887" s="69" t="s">
        <v>338</v>
      </c>
      <c r="C887" s="194"/>
      <c r="D887" s="621" t="s">
        <v>207</v>
      </c>
      <c r="E887" s="622" t="s">
        <v>207</v>
      </c>
      <c r="F887" s="70"/>
      <c r="G887" s="289"/>
    </row>
    <row r="888" spans="1:7" x14ac:dyDescent="0.3">
      <c r="A888" s="288" t="s">
        <v>527</v>
      </c>
      <c r="B888" s="174" t="s">
        <v>524</v>
      </c>
      <c r="C888" s="194"/>
      <c r="D888" s="197"/>
      <c r="E888" s="198"/>
      <c r="F888" s="70"/>
      <c r="G888" s="101" t="s">
        <v>528</v>
      </c>
    </row>
    <row r="889" spans="1:7" x14ac:dyDescent="0.3">
      <c r="A889" s="290" t="s">
        <v>428</v>
      </c>
      <c r="B889" s="125"/>
      <c r="C889" s="194"/>
      <c r="D889" s="283"/>
      <c r="E889" s="283"/>
      <c r="F889" s="69"/>
      <c r="G889" s="101" t="s">
        <v>529</v>
      </c>
    </row>
    <row r="890" spans="1:7" x14ac:dyDescent="0.3">
      <c r="A890" s="285" t="s">
        <v>246</v>
      </c>
      <c r="B890" s="137"/>
      <c r="C890" s="194"/>
      <c r="D890" s="282"/>
      <c r="E890" s="69"/>
      <c r="F890" s="69" t="s">
        <v>530</v>
      </c>
      <c r="G890" s="291" t="s">
        <v>42</v>
      </c>
    </row>
    <row r="891" spans="1:7" x14ac:dyDescent="0.3">
      <c r="A891" s="47"/>
      <c r="B891" s="163"/>
      <c r="C891" s="22"/>
      <c r="D891" s="48"/>
      <c r="F891" s="6"/>
      <c r="G891" s="2"/>
    </row>
    <row r="892" spans="1:7" ht="15" thickBot="1" x14ac:dyDescent="0.35">
      <c r="A892" s="188"/>
      <c r="B892" s="189"/>
      <c r="C892" s="23"/>
      <c r="D892" s="190"/>
      <c r="E892" s="4"/>
      <c r="F892" s="7"/>
      <c r="G892" s="5"/>
    </row>
    <row r="893" spans="1:7" x14ac:dyDescent="0.3">
      <c r="A893" s="60" t="s">
        <v>236</v>
      </c>
      <c r="B893" s="162"/>
      <c r="C893" s="61" t="s">
        <v>239</v>
      </c>
      <c r="D893" s="62"/>
      <c r="E893" s="62"/>
      <c r="F893" s="63"/>
      <c r="G893" s="64"/>
    </row>
    <row r="894" spans="1:7" x14ac:dyDescent="0.3">
      <c r="A894" s="304" t="s">
        <v>502</v>
      </c>
      <c r="B894" s="305"/>
      <c r="C894" s="306"/>
      <c r="D894" s="157"/>
      <c r="E894" s="307" t="s">
        <v>503</v>
      </c>
      <c r="F894" s="308"/>
      <c r="G894" s="309" t="s">
        <v>531</v>
      </c>
    </row>
    <row r="895" spans="1:7" x14ac:dyDescent="0.3">
      <c r="A895" s="267" t="s">
        <v>270</v>
      </c>
      <c r="B895" s="141"/>
      <c r="C895" s="263"/>
      <c r="D895" s="264"/>
      <c r="E895" s="303" t="s">
        <v>532</v>
      </c>
      <c r="F895" s="265"/>
      <c r="G895" s="269" t="s">
        <v>533</v>
      </c>
    </row>
    <row r="896" spans="1:7" ht="28.8" x14ac:dyDescent="0.3">
      <c r="A896" s="267" t="s">
        <v>534</v>
      </c>
      <c r="B896" s="141"/>
      <c r="C896" s="263"/>
      <c r="D896" s="263" t="s">
        <v>281</v>
      </c>
      <c r="E896" s="265" t="s">
        <v>282</v>
      </c>
      <c r="F896" s="265"/>
      <c r="G896" s="268" t="s">
        <v>535</v>
      </c>
    </row>
    <row r="897" spans="1:7" ht="28.8" x14ac:dyDescent="0.3">
      <c r="A897" s="267" t="s">
        <v>424</v>
      </c>
      <c r="B897" s="141"/>
      <c r="C897" s="610" t="s">
        <v>473</v>
      </c>
      <c r="D897" s="611"/>
      <c r="E897" s="265" t="s">
        <v>440</v>
      </c>
      <c r="F897" s="265"/>
      <c r="G897" s="268" t="s">
        <v>536</v>
      </c>
    </row>
    <row r="898" spans="1:7" ht="28.8" x14ac:dyDescent="0.3">
      <c r="A898" s="300" t="s">
        <v>506</v>
      </c>
      <c r="B898" s="174" t="s">
        <v>234</v>
      </c>
      <c r="C898" s="69"/>
      <c r="D898" s="614" t="s">
        <v>537</v>
      </c>
      <c r="E898" s="615"/>
      <c r="F898" s="70"/>
      <c r="G898" s="272" t="s">
        <v>538</v>
      </c>
    </row>
    <row r="899" spans="1:7" x14ac:dyDescent="0.3">
      <c r="A899" s="606" t="s">
        <v>452</v>
      </c>
      <c r="B899" s="602"/>
      <c r="C899" s="228"/>
      <c r="D899" s="229" t="s">
        <v>450</v>
      </c>
      <c r="E899" s="238"/>
      <c r="F899" s="239"/>
      <c r="G899" s="280" t="s">
        <v>454</v>
      </c>
    </row>
    <row r="900" spans="1:7" x14ac:dyDescent="0.3">
      <c r="A900" s="606" t="s">
        <v>451</v>
      </c>
      <c r="B900" s="602"/>
      <c r="C900" s="228"/>
      <c r="D900" s="229" t="s">
        <v>450</v>
      </c>
      <c r="E900" s="238"/>
      <c r="F900" s="239"/>
      <c r="G900" s="280" t="s">
        <v>454</v>
      </c>
    </row>
    <row r="901" spans="1:7" x14ac:dyDescent="0.3">
      <c r="A901" s="606" t="s">
        <v>453</v>
      </c>
      <c r="B901" s="602"/>
      <c r="C901" s="228"/>
      <c r="D901" s="229" t="s">
        <v>450</v>
      </c>
      <c r="E901" s="238"/>
      <c r="F901" s="239"/>
      <c r="G901" s="280" t="s">
        <v>454</v>
      </c>
    </row>
    <row r="902" spans="1:7" x14ac:dyDescent="0.3">
      <c r="A902" s="241"/>
      <c r="B902" s="240"/>
      <c r="C902" s="228"/>
      <c r="D902" s="229"/>
      <c r="E902" s="238"/>
      <c r="F902" s="239"/>
      <c r="G902" s="232"/>
    </row>
    <row r="903" spans="1:7" x14ac:dyDescent="0.3">
      <c r="A903" s="606" t="s">
        <v>455</v>
      </c>
      <c r="B903" s="602"/>
      <c r="C903" s="228"/>
      <c r="D903" s="275" t="s">
        <v>457</v>
      </c>
      <c r="E903" s="240"/>
      <c r="F903" s="239"/>
      <c r="G903" s="281" t="s">
        <v>456</v>
      </c>
    </row>
    <row r="904" spans="1:7" x14ac:dyDescent="0.3">
      <c r="A904" s="606" t="s">
        <v>458</v>
      </c>
      <c r="B904" s="602"/>
      <c r="C904" s="228"/>
      <c r="D904" s="275" t="s">
        <v>450</v>
      </c>
      <c r="E904" s="240"/>
      <c r="F904" s="239"/>
      <c r="G904" s="281" t="s">
        <v>456</v>
      </c>
    </row>
    <row r="905" spans="1:7" x14ac:dyDescent="0.3">
      <c r="A905" s="606" t="s">
        <v>459</v>
      </c>
      <c r="B905" s="602"/>
      <c r="C905" s="228"/>
      <c r="D905" s="275" t="s">
        <v>450</v>
      </c>
      <c r="E905" s="240"/>
      <c r="F905" s="239"/>
      <c r="G905" s="281" t="s">
        <v>456</v>
      </c>
    </row>
    <row r="906" spans="1:7" x14ac:dyDescent="0.3">
      <c r="A906" s="606" t="s">
        <v>460</v>
      </c>
      <c r="B906" s="602"/>
      <c r="C906" s="228"/>
      <c r="D906" s="275" t="s">
        <v>450</v>
      </c>
      <c r="E906" s="240"/>
      <c r="F906" s="239"/>
      <c r="G906" s="281" t="s">
        <v>456</v>
      </c>
    </row>
    <row r="907" spans="1:7" x14ac:dyDescent="0.3">
      <c r="A907" s="606" t="s">
        <v>461</v>
      </c>
      <c r="B907" s="602"/>
      <c r="C907" s="228"/>
      <c r="D907" s="275" t="s">
        <v>457</v>
      </c>
      <c r="E907" s="240"/>
      <c r="F907" s="239"/>
      <c r="G907" s="281" t="s">
        <v>456</v>
      </c>
    </row>
    <row r="908" spans="1:7" x14ac:dyDescent="0.3">
      <c r="A908" s="606" t="s">
        <v>462</v>
      </c>
      <c r="B908" s="602"/>
      <c r="C908" s="228"/>
      <c r="D908" s="275" t="s">
        <v>450</v>
      </c>
      <c r="E908" s="240"/>
      <c r="F908" s="239"/>
      <c r="G908" s="281" t="s">
        <v>456</v>
      </c>
    </row>
    <row r="909" spans="1:7" x14ac:dyDescent="0.3">
      <c r="A909" s="606" t="s">
        <v>463</v>
      </c>
      <c r="B909" s="602"/>
      <c r="C909" s="228"/>
      <c r="D909" s="275" t="s">
        <v>450</v>
      </c>
      <c r="E909" s="240"/>
      <c r="F909" s="239"/>
      <c r="G909" s="281" t="s">
        <v>456</v>
      </c>
    </row>
    <row r="910" spans="1:7" x14ac:dyDescent="0.3">
      <c r="A910" s="606" t="s">
        <v>464</v>
      </c>
      <c r="B910" s="602"/>
      <c r="C910" s="228"/>
      <c r="D910" s="275" t="s">
        <v>450</v>
      </c>
      <c r="E910" s="240"/>
      <c r="F910" s="239"/>
      <c r="G910" s="281" t="s">
        <v>456</v>
      </c>
    </row>
    <row r="911" spans="1:7" x14ac:dyDescent="0.3">
      <c r="A911" s="241"/>
      <c r="B911" s="240"/>
      <c r="C911" s="228"/>
      <c r="D911" s="275"/>
      <c r="E911" s="278" t="s">
        <v>469</v>
      </c>
      <c r="F911" s="239"/>
      <c r="G911" s="232"/>
    </row>
    <row r="912" spans="1:7" x14ac:dyDescent="0.3">
      <c r="A912" s="606" t="s">
        <v>465</v>
      </c>
      <c r="B912" s="602"/>
      <c r="C912" s="228"/>
      <c r="D912" s="275" t="s">
        <v>457</v>
      </c>
      <c r="E912" s="235"/>
      <c r="F912" s="239"/>
      <c r="G912" s="281" t="s">
        <v>468</v>
      </c>
    </row>
    <row r="913" spans="1:7" x14ac:dyDescent="0.3">
      <c r="A913" s="606" t="s">
        <v>466</v>
      </c>
      <c r="B913" s="602"/>
      <c r="C913" s="228"/>
      <c r="D913" s="275" t="s">
        <v>457</v>
      </c>
      <c r="E913" s="235"/>
      <c r="F913" s="239"/>
      <c r="G913" s="281" t="s">
        <v>468</v>
      </c>
    </row>
    <row r="914" spans="1:7" x14ac:dyDescent="0.3">
      <c r="A914" s="606" t="s">
        <v>467</v>
      </c>
      <c r="B914" s="602"/>
      <c r="C914" s="228"/>
      <c r="D914" s="275" t="s">
        <v>450</v>
      </c>
      <c r="E914" s="235"/>
      <c r="F914" s="239"/>
      <c r="G914" s="281" t="s">
        <v>468</v>
      </c>
    </row>
    <row r="915" spans="1:7" x14ac:dyDescent="0.3">
      <c r="A915" s="241"/>
      <c r="B915" s="235"/>
      <c r="C915" s="228"/>
      <c r="D915" s="229"/>
      <c r="E915" s="279" t="s">
        <v>470</v>
      </c>
      <c r="F915" s="239"/>
      <c r="G915" s="232"/>
    </row>
    <row r="916" spans="1:7" x14ac:dyDescent="0.3">
      <c r="A916" s="241"/>
      <c r="B916" s="235"/>
      <c r="C916" s="228"/>
      <c r="D916" s="229"/>
      <c r="E916" s="235"/>
      <c r="F916" s="239"/>
      <c r="G916" s="232"/>
    </row>
    <row r="917" spans="1:7" x14ac:dyDescent="0.3">
      <c r="A917" s="241"/>
      <c r="B917" s="235"/>
      <c r="C917" s="228"/>
      <c r="D917" s="229"/>
      <c r="E917" s="230"/>
      <c r="F917" s="231"/>
      <c r="G917" s="232"/>
    </row>
    <row r="918" spans="1:7" x14ac:dyDescent="0.3">
      <c r="A918" s="248" t="s">
        <v>9</v>
      </c>
      <c r="B918" s="249"/>
      <c r="C918" s="266" t="s">
        <v>212</v>
      </c>
      <c r="D918" s="250"/>
      <c r="E918" s="250"/>
      <c r="F918" s="251"/>
      <c r="G918" s="252"/>
    </row>
    <row r="919" spans="1:7" x14ac:dyDescent="0.3">
      <c r="A919" s="226" t="s">
        <v>308</v>
      </c>
      <c r="B919" s="235"/>
      <c r="C919" s="228"/>
      <c r="D919" s="229"/>
      <c r="E919" s="230"/>
      <c r="F919" s="231"/>
      <c r="G919" s="232" t="s">
        <v>42</v>
      </c>
    </row>
    <row r="920" spans="1:7" x14ac:dyDescent="0.3">
      <c r="A920" s="237"/>
      <c r="B920" s="230"/>
      <c r="C920" s="228"/>
      <c r="D920" s="230"/>
      <c r="E920" s="230"/>
      <c r="F920" s="231"/>
      <c r="G920" s="232"/>
    </row>
    <row r="921" spans="1:7" x14ac:dyDescent="0.3">
      <c r="A921" s="604" t="s">
        <v>472</v>
      </c>
      <c r="B921" s="605"/>
      <c r="C921" s="228"/>
      <c r="D921" s="230"/>
      <c r="E921" s="230"/>
      <c r="F921" s="231"/>
      <c r="G921" s="232"/>
    </row>
    <row r="922" spans="1:7" x14ac:dyDescent="0.3">
      <c r="A922" s="237"/>
      <c r="B922" s="230"/>
      <c r="C922" s="228"/>
      <c r="D922" s="230"/>
      <c r="E922" s="230"/>
      <c r="F922" s="231"/>
      <c r="G922" s="232"/>
    </row>
    <row r="923" spans="1:7" ht="15" thickBot="1" x14ac:dyDescent="0.35">
      <c r="A923" s="253"/>
      <c r="B923" s="254"/>
      <c r="C923" s="255"/>
      <c r="D923" s="254"/>
      <c r="E923" s="254"/>
      <c r="F923" s="256"/>
      <c r="G923" s="257"/>
    </row>
    <row r="926" spans="1:7" ht="28.8" x14ac:dyDescent="0.3">
      <c r="A926" s="596" t="s">
        <v>557</v>
      </c>
      <c r="B926" s="596"/>
      <c r="C926" s="596"/>
      <c r="D926" s="596"/>
      <c r="E926" s="596"/>
      <c r="F926" s="596"/>
      <c r="G926" s="596"/>
    </row>
    <row r="927" spans="1:7" ht="28.8" x14ac:dyDescent="0.3">
      <c r="A927" s="150"/>
      <c r="B927" s="150"/>
      <c r="C927" s="150"/>
      <c r="D927" s="150"/>
      <c r="E927" s="150"/>
      <c r="F927" s="150"/>
      <c r="G927" s="150"/>
    </row>
    <row r="928" spans="1:7" ht="21.6" thickBot="1" x14ac:dyDescent="0.45">
      <c r="A928" s="597" t="s">
        <v>539</v>
      </c>
      <c r="B928" s="597"/>
      <c r="C928" s="597"/>
      <c r="D928" s="597"/>
      <c r="E928" s="597"/>
      <c r="F928" s="597"/>
      <c r="G928" s="597"/>
    </row>
    <row r="929" spans="1:7" ht="18.600000000000001" thickBot="1" x14ac:dyDescent="0.35">
      <c r="A929" s="20" t="s">
        <v>235</v>
      </c>
      <c r="B929" s="284" t="s">
        <v>34</v>
      </c>
      <c r="C929" s="21" t="s">
        <v>1</v>
      </c>
      <c r="D929" s="598" t="s">
        <v>4</v>
      </c>
      <c r="E929" s="599"/>
      <c r="F929" s="21" t="s">
        <v>2</v>
      </c>
      <c r="G929" s="19" t="s">
        <v>3</v>
      </c>
    </row>
    <row r="930" spans="1:7" ht="15" thickBot="1" x14ac:dyDescent="0.35">
      <c r="A930" s="219" t="s">
        <v>237</v>
      </c>
      <c r="B930" s="164"/>
      <c r="C930" s="61" t="s">
        <v>208</v>
      </c>
      <c r="D930" s="62"/>
      <c r="E930" s="62"/>
      <c r="F930" s="63"/>
      <c r="G930" s="64"/>
    </row>
    <row r="931" spans="1:7" ht="28.8" x14ac:dyDescent="0.3">
      <c r="A931" s="323" t="s">
        <v>247</v>
      </c>
      <c r="B931" s="324" t="s">
        <v>248</v>
      </c>
      <c r="C931" s="325"/>
      <c r="D931" s="619"/>
      <c r="E931" s="620"/>
      <c r="F931" s="326">
        <v>45443</v>
      </c>
      <c r="G931" s="327" t="s">
        <v>505</v>
      </c>
    </row>
    <row r="932" spans="1:7" ht="28.8" x14ac:dyDescent="0.3">
      <c r="A932" s="300" t="s">
        <v>506</v>
      </c>
      <c r="B932" s="174" t="s">
        <v>234</v>
      </c>
      <c r="C932" s="69"/>
      <c r="D932" s="621"/>
      <c r="E932" s="622"/>
      <c r="F932" s="70"/>
      <c r="G932" s="295" t="s">
        <v>540</v>
      </c>
    </row>
    <row r="933" spans="1:7" x14ac:dyDescent="0.3">
      <c r="A933" s="175" t="s">
        <v>228</v>
      </c>
      <c r="B933" s="174" t="e">
        <f>#REF!</f>
        <v>#REF!</v>
      </c>
      <c r="C933" s="69"/>
      <c r="D933" s="197" t="s">
        <v>429</v>
      </c>
      <c r="E933" s="198"/>
      <c r="F933" s="70"/>
      <c r="G933" s="192" t="s">
        <v>42</v>
      </c>
    </row>
    <row r="934" spans="1:7" ht="14.4" customHeight="1" x14ac:dyDescent="0.3">
      <c r="A934" s="1" t="s">
        <v>508</v>
      </c>
      <c r="B934" t="s">
        <v>509</v>
      </c>
      <c r="C934" s="6"/>
      <c r="D934" s="614" t="s">
        <v>549</v>
      </c>
      <c r="E934" s="615"/>
      <c r="F934" s="46"/>
      <c r="G934" s="322" t="s">
        <v>548</v>
      </c>
    </row>
    <row r="935" spans="1:7" x14ac:dyDescent="0.3">
      <c r="A935" s="186" t="s">
        <v>323</v>
      </c>
      <c r="B935" s="81" t="s">
        <v>250</v>
      </c>
      <c r="C935" s="22"/>
      <c r="D935" s="612" t="s">
        <v>61</v>
      </c>
      <c r="E935" s="613"/>
      <c r="F935" s="46"/>
      <c r="G935" s="317"/>
    </row>
    <row r="936" spans="1:7" x14ac:dyDescent="0.3">
      <c r="A936" s="1" t="s">
        <v>335</v>
      </c>
      <c r="B936" t="s">
        <v>337</v>
      </c>
      <c r="C936" s="6"/>
      <c r="D936" s="612" t="s">
        <v>61</v>
      </c>
      <c r="E936" s="613"/>
      <c r="F936" s="6"/>
      <c r="G936" s="317"/>
    </row>
    <row r="937" spans="1:7" x14ac:dyDescent="0.3">
      <c r="A937" s="186" t="s">
        <v>476</v>
      </c>
      <c r="B937" t="s">
        <v>249</v>
      </c>
      <c r="C937" s="6"/>
      <c r="D937" s="612" t="s">
        <v>511</v>
      </c>
      <c r="E937" s="613"/>
      <c r="F937" s="46"/>
      <c r="G937" s="317"/>
    </row>
    <row r="938" spans="1:7" ht="14.4" customHeight="1" x14ac:dyDescent="0.3">
      <c r="A938" s="1" t="s">
        <v>242</v>
      </c>
      <c r="B938" t="s">
        <v>324</v>
      </c>
      <c r="C938" s="6"/>
      <c r="D938" s="612" t="s">
        <v>512</v>
      </c>
      <c r="E938" s="613"/>
      <c r="F938" s="6"/>
      <c r="G938" s="317"/>
    </row>
    <row r="939" spans="1:7" x14ac:dyDescent="0.3">
      <c r="A939" s="13" t="s">
        <v>320</v>
      </c>
      <c r="B939" s="169" t="s">
        <v>338</v>
      </c>
      <c r="C939" s="193"/>
      <c r="D939" s="612" t="s">
        <v>61</v>
      </c>
      <c r="E939" s="613"/>
      <c r="F939" s="191"/>
      <c r="G939" s="292"/>
    </row>
    <row r="940" spans="1:7" ht="14.4" customHeight="1" x14ac:dyDescent="0.3">
      <c r="A940" s="175" t="s">
        <v>243</v>
      </c>
      <c r="B940" s="174" t="s">
        <v>251</v>
      </c>
      <c r="C940" s="194" t="s">
        <v>388</v>
      </c>
      <c r="D940" s="614" t="s">
        <v>541</v>
      </c>
      <c r="E940" s="615"/>
      <c r="F940" s="70">
        <v>45533</v>
      </c>
      <c r="G940" s="223"/>
    </row>
    <row r="941" spans="1:7" ht="28.8" customHeight="1" x14ac:dyDescent="0.3">
      <c r="A941" s="318" t="s">
        <v>332</v>
      </c>
      <c r="B941" s="301" t="s">
        <v>350</v>
      </c>
      <c r="C941" s="297" t="s">
        <v>525</v>
      </c>
      <c r="D941" s="616" t="s">
        <v>550</v>
      </c>
      <c r="E941" s="617"/>
      <c r="F941" s="298"/>
      <c r="G941" s="319" t="s">
        <v>552</v>
      </c>
    </row>
    <row r="942" spans="1:7" ht="28.8" x14ac:dyDescent="0.3">
      <c r="A942" s="286" t="s">
        <v>348</v>
      </c>
      <c r="B942" s="69" t="e">
        <v>#REF!</v>
      </c>
      <c r="C942" s="194"/>
      <c r="D942" s="618"/>
      <c r="E942" s="618"/>
      <c r="F942" s="70"/>
      <c r="G942" s="328" t="s">
        <v>515</v>
      </c>
    </row>
    <row r="943" spans="1:7" ht="28.8" x14ac:dyDescent="0.3">
      <c r="A943" s="285" t="s">
        <v>478</v>
      </c>
      <c r="B943" s="296" t="s">
        <v>417</v>
      </c>
      <c r="C943" s="297"/>
      <c r="D943" s="609" t="s">
        <v>262</v>
      </c>
      <c r="E943" s="609"/>
      <c r="F943" s="298"/>
      <c r="G943" s="329" t="s">
        <v>551</v>
      </c>
    </row>
    <row r="944" spans="1:7" ht="27" customHeight="1" x14ac:dyDescent="0.3">
      <c r="A944" s="338" t="s">
        <v>491</v>
      </c>
      <c r="B944" s="296" t="s">
        <v>516</v>
      </c>
      <c r="C944" s="297"/>
      <c r="D944" s="609" t="s">
        <v>517</v>
      </c>
      <c r="E944" s="609"/>
      <c r="F944" s="298"/>
      <c r="G944" s="330" t="s">
        <v>553</v>
      </c>
    </row>
    <row r="945" spans="1:7" ht="43.2" x14ac:dyDescent="0.3">
      <c r="A945" s="285" t="s">
        <v>518</v>
      </c>
      <c r="B945" s="125" t="s">
        <v>519</v>
      </c>
      <c r="C945" s="297"/>
      <c r="D945" s="609" t="s">
        <v>520</v>
      </c>
      <c r="E945" s="609"/>
      <c r="F945" s="320">
        <v>45531</v>
      </c>
      <c r="G945" s="330" t="s">
        <v>554</v>
      </c>
    </row>
    <row r="946" spans="1:7" ht="28.8" x14ac:dyDescent="0.3">
      <c r="A946" s="285" t="s">
        <v>521</v>
      </c>
      <c r="B946" s="69" t="s">
        <v>522</v>
      </c>
      <c r="C946" s="297"/>
      <c r="D946" s="609" t="s">
        <v>555</v>
      </c>
      <c r="E946" s="609"/>
      <c r="F946" s="320">
        <v>45531</v>
      </c>
      <c r="G946" s="330" t="s">
        <v>554</v>
      </c>
    </row>
    <row r="947" spans="1:7" ht="14.4" customHeight="1" x14ac:dyDescent="0.3">
      <c r="A947" s="285" t="s">
        <v>523</v>
      </c>
      <c r="B947" s="69" t="s">
        <v>524</v>
      </c>
      <c r="C947" s="297" t="s">
        <v>525</v>
      </c>
      <c r="D947" s="609" t="s">
        <v>526</v>
      </c>
      <c r="E947" s="609"/>
      <c r="F947" s="320">
        <v>45532</v>
      </c>
      <c r="G947" s="331" t="s">
        <v>556</v>
      </c>
    </row>
    <row r="948" spans="1:7" ht="14.4" customHeight="1" x14ac:dyDescent="0.3">
      <c r="A948" s="285" t="s">
        <v>542</v>
      </c>
      <c r="B948" s="69" t="s">
        <v>543</v>
      </c>
      <c r="C948" s="297"/>
      <c r="D948" s="587" t="s">
        <v>544</v>
      </c>
      <c r="E948" s="587"/>
      <c r="F948" s="298"/>
      <c r="G948" s="299"/>
    </row>
    <row r="949" spans="1:7" ht="14.4" customHeight="1" x14ac:dyDescent="0.3">
      <c r="A949" s="285" t="s">
        <v>545</v>
      </c>
      <c r="B949" s="69"/>
      <c r="C949" s="297" t="s">
        <v>546</v>
      </c>
      <c r="D949" s="587" t="s">
        <v>547</v>
      </c>
      <c r="E949" s="587"/>
      <c r="F949" s="298">
        <v>45534</v>
      </c>
      <c r="G949" s="299"/>
    </row>
    <row r="950" spans="1:7" ht="15" thickBot="1" x14ac:dyDescent="0.35">
      <c r="A950" s="332"/>
      <c r="B950" s="333"/>
      <c r="C950" s="334"/>
      <c r="D950" s="335"/>
      <c r="E950" s="336"/>
      <c r="F950" s="337"/>
      <c r="G950" s="207"/>
    </row>
    <row r="951" spans="1:7" x14ac:dyDescent="0.3">
      <c r="A951" s="65" t="s">
        <v>238</v>
      </c>
      <c r="B951" s="164"/>
      <c r="C951" s="321" t="s">
        <v>211</v>
      </c>
      <c r="D951" s="66"/>
      <c r="E951" s="66"/>
      <c r="F951" s="67"/>
      <c r="G951" s="68"/>
    </row>
    <row r="952" spans="1:7" x14ac:dyDescent="0.3">
      <c r="A952" s="285" t="s">
        <v>335</v>
      </c>
      <c r="B952" s="69" t="s">
        <v>337</v>
      </c>
      <c r="C952" s="194"/>
      <c r="D952" s="282" t="s">
        <v>207</v>
      </c>
      <c r="E952" s="69"/>
      <c r="F952" s="70"/>
      <c r="G952" s="101"/>
    </row>
    <row r="953" spans="1:7" x14ac:dyDescent="0.3">
      <c r="A953" s="287" t="s">
        <v>323</v>
      </c>
      <c r="B953" s="125" t="s">
        <v>324</v>
      </c>
      <c r="C953" s="194"/>
      <c r="D953" s="197" t="s">
        <v>207</v>
      </c>
      <c r="E953" s="198"/>
      <c r="F953" s="70"/>
      <c r="G953" s="101"/>
    </row>
    <row r="954" spans="1:7" x14ac:dyDescent="0.3">
      <c r="A954" s="287" t="s">
        <v>370</v>
      </c>
      <c r="B954" s="69" t="s">
        <v>249</v>
      </c>
      <c r="C954" s="194"/>
      <c r="D954" s="621" t="s">
        <v>207</v>
      </c>
      <c r="E954" s="622" t="s">
        <v>207</v>
      </c>
      <c r="F954" s="70"/>
      <c r="G954" s="101"/>
    </row>
    <row r="955" spans="1:7" x14ac:dyDescent="0.3">
      <c r="A955" s="288" t="s">
        <v>320</v>
      </c>
      <c r="B955" s="69" t="s">
        <v>338</v>
      </c>
      <c r="C955" s="194"/>
      <c r="D955" s="621" t="s">
        <v>207</v>
      </c>
      <c r="E955" s="622" t="s">
        <v>207</v>
      </c>
      <c r="F955" s="70"/>
      <c r="G955" s="289"/>
    </row>
    <row r="956" spans="1:7" x14ac:dyDescent="0.3">
      <c r="A956" s="288" t="s">
        <v>527</v>
      </c>
      <c r="B956" s="174" t="s">
        <v>524</v>
      </c>
      <c r="C956" s="194"/>
      <c r="D956" s="197" t="s">
        <v>207</v>
      </c>
      <c r="E956" s="198"/>
      <c r="F956" s="70"/>
      <c r="G956" s="101" t="s">
        <v>528</v>
      </c>
    </row>
    <row r="957" spans="1:7" x14ac:dyDescent="0.3">
      <c r="A957" s="290" t="s">
        <v>428</v>
      </c>
      <c r="B957" s="125"/>
      <c r="C957" s="194"/>
      <c r="D957" s="283" t="s">
        <v>207</v>
      </c>
      <c r="E957" s="283"/>
      <c r="F957" s="69"/>
      <c r="G957" s="101" t="s">
        <v>529</v>
      </c>
    </row>
    <row r="958" spans="1:7" x14ac:dyDescent="0.3">
      <c r="A958" s="285" t="s">
        <v>246</v>
      </c>
      <c r="B958" s="137"/>
      <c r="C958" s="194"/>
      <c r="D958" s="282"/>
      <c r="E958" s="69"/>
      <c r="F958" s="69" t="s">
        <v>530</v>
      </c>
      <c r="G958" s="291" t="s">
        <v>42</v>
      </c>
    </row>
    <row r="959" spans="1:7" x14ac:dyDescent="0.3">
      <c r="A959" s="47"/>
      <c r="B959" s="163"/>
      <c r="C959" s="22"/>
      <c r="D959" s="48"/>
      <c r="F959" s="6"/>
      <c r="G959" s="2"/>
    </row>
    <row r="960" spans="1:7" ht="15" thickBot="1" x14ac:dyDescent="0.35">
      <c r="A960" s="188"/>
      <c r="B960" s="189"/>
      <c r="C960" s="23"/>
      <c r="D960" s="190"/>
      <c r="E960" s="4"/>
      <c r="F960" s="7"/>
      <c r="G960" s="5"/>
    </row>
    <row r="961" spans="1:7" x14ac:dyDescent="0.3">
      <c r="A961" s="60" t="s">
        <v>236</v>
      </c>
      <c r="B961" s="162"/>
      <c r="C961" s="61" t="s">
        <v>239</v>
      </c>
      <c r="D961" s="62"/>
      <c r="E961" s="62"/>
      <c r="F961" s="63"/>
      <c r="G961" s="64"/>
    </row>
    <row r="962" spans="1:7" x14ac:dyDescent="0.3">
      <c r="A962" s="304" t="s">
        <v>502</v>
      </c>
      <c r="B962" s="305"/>
      <c r="C962" s="306"/>
      <c r="D962" s="157"/>
      <c r="E962" s="307" t="s">
        <v>503</v>
      </c>
      <c r="F962" s="308"/>
      <c r="G962" s="309" t="s">
        <v>531</v>
      </c>
    </row>
    <row r="963" spans="1:7" x14ac:dyDescent="0.3">
      <c r="A963" s="267" t="s">
        <v>270</v>
      </c>
      <c r="B963" s="141"/>
      <c r="C963" s="263"/>
      <c r="D963" s="264"/>
      <c r="E963" s="303" t="s">
        <v>532</v>
      </c>
      <c r="F963" s="265"/>
      <c r="G963" s="269" t="s">
        <v>533</v>
      </c>
    </row>
    <row r="964" spans="1:7" ht="28.8" customHeight="1" x14ac:dyDescent="0.3">
      <c r="A964" s="267" t="s">
        <v>534</v>
      </c>
      <c r="B964" s="141"/>
      <c r="C964" s="263"/>
      <c r="D964" s="263" t="s">
        <v>281</v>
      </c>
      <c r="E964" s="265" t="s">
        <v>282</v>
      </c>
      <c r="F964" s="265"/>
      <c r="G964" s="268" t="s">
        <v>535</v>
      </c>
    </row>
    <row r="965" spans="1:7" ht="52.2" customHeight="1" x14ac:dyDescent="0.3">
      <c r="A965" s="267" t="s">
        <v>424</v>
      </c>
      <c r="B965" s="141"/>
      <c r="C965" s="610" t="s">
        <v>473</v>
      </c>
      <c r="D965" s="611"/>
      <c r="E965" s="265" t="s">
        <v>440</v>
      </c>
      <c r="F965" s="265"/>
      <c r="G965" s="268" t="s">
        <v>536</v>
      </c>
    </row>
    <row r="966" spans="1:7" ht="14.4" customHeight="1" x14ac:dyDescent="0.3">
      <c r="A966" s="300" t="s">
        <v>506</v>
      </c>
      <c r="B966" s="174" t="s">
        <v>234</v>
      </c>
      <c r="C966" s="69"/>
      <c r="D966" s="614" t="s">
        <v>537</v>
      </c>
      <c r="E966" s="615"/>
      <c r="F966" s="70"/>
      <c r="G966" s="272" t="s">
        <v>538</v>
      </c>
    </row>
    <row r="967" spans="1:7" ht="14.4" customHeight="1" x14ac:dyDescent="0.3">
      <c r="A967" s="606" t="s">
        <v>452</v>
      </c>
      <c r="B967" s="602"/>
      <c r="C967" s="228"/>
      <c r="D967" s="229" t="s">
        <v>450</v>
      </c>
      <c r="E967" s="238"/>
      <c r="F967" s="239"/>
      <c r="G967" s="280" t="s">
        <v>454</v>
      </c>
    </row>
    <row r="968" spans="1:7" ht="14.4" customHeight="1" x14ac:dyDescent="0.3">
      <c r="A968" s="606" t="s">
        <v>451</v>
      </c>
      <c r="B968" s="602"/>
      <c r="C968" s="228"/>
      <c r="D968" s="229" t="s">
        <v>450</v>
      </c>
      <c r="E968" s="238"/>
      <c r="F968" s="239"/>
      <c r="G968" s="280" t="s">
        <v>454</v>
      </c>
    </row>
    <row r="969" spans="1:7" ht="14.4" customHeight="1" x14ac:dyDescent="0.3">
      <c r="A969" s="606" t="s">
        <v>453</v>
      </c>
      <c r="B969" s="602"/>
      <c r="C969" s="228"/>
      <c r="D969" s="229" t="s">
        <v>450</v>
      </c>
      <c r="E969" s="238"/>
      <c r="F969" s="239"/>
      <c r="G969" s="280" t="s">
        <v>454</v>
      </c>
    </row>
    <row r="970" spans="1:7" ht="14.4" customHeight="1" x14ac:dyDescent="0.3">
      <c r="A970" s="241"/>
      <c r="B970" s="240"/>
      <c r="C970" s="228"/>
      <c r="D970" s="229"/>
      <c r="E970" s="238"/>
      <c r="F970" s="239"/>
      <c r="G970" s="232"/>
    </row>
    <row r="971" spans="1:7" ht="14.4" customHeight="1" x14ac:dyDescent="0.3">
      <c r="A971" s="606" t="s">
        <v>455</v>
      </c>
      <c r="B971" s="602"/>
      <c r="C971" s="228"/>
      <c r="D971" s="275" t="s">
        <v>457</v>
      </c>
      <c r="E971" s="240"/>
      <c r="F971" s="239"/>
      <c r="G971" s="281" t="s">
        <v>456</v>
      </c>
    </row>
    <row r="972" spans="1:7" ht="14.4" customHeight="1" x14ac:dyDescent="0.3">
      <c r="A972" s="606" t="s">
        <v>458</v>
      </c>
      <c r="B972" s="602"/>
      <c r="C972" s="228"/>
      <c r="D972" s="275" t="s">
        <v>450</v>
      </c>
      <c r="E972" s="240"/>
      <c r="F972" s="239"/>
      <c r="G972" s="281" t="s">
        <v>456</v>
      </c>
    </row>
    <row r="973" spans="1:7" ht="14.4" customHeight="1" x14ac:dyDescent="0.3">
      <c r="A973" s="606" t="s">
        <v>459</v>
      </c>
      <c r="B973" s="602"/>
      <c r="C973" s="228"/>
      <c r="D973" s="275" t="s">
        <v>450</v>
      </c>
      <c r="E973" s="240"/>
      <c r="F973" s="239"/>
      <c r="G973" s="281" t="s">
        <v>456</v>
      </c>
    </row>
    <row r="974" spans="1:7" ht="14.4" customHeight="1" x14ac:dyDescent="0.3">
      <c r="A974" s="606" t="s">
        <v>460</v>
      </c>
      <c r="B974" s="602"/>
      <c r="C974" s="228"/>
      <c r="D974" s="275" t="s">
        <v>450</v>
      </c>
      <c r="E974" s="240"/>
      <c r="F974" s="239"/>
      <c r="G974" s="281" t="s">
        <v>456</v>
      </c>
    </row>
    <row r="975" spans="1:7" ht="14.4" customHeight="1" x14ac:dyDescent="0.3">
      <c r="A975" s="606" t="s">
        <v>461</v>
      </c>
      <c r="B975" s="602"/>
      <c r="C975" s="228"/>
      <c r="D975" s="275" t="s">
        <v>457</v>
      </c>
      <c r="E975" s="240"/>
      <c r="F975" s="239"/>
      <c r="G975" s="281" t="s">
        <v>456</v>
      </c>
    </row>
    <row r="976" spans="1:7" ht="14.4" customHeight="1" x14ac:dyDescent="0.3">
      <c r="A976" s="606" t="s">
        <v>462</v>
      </c>
      <c r="B976" s="602"/>
      <c r="C976" s="228"/>
      <c r="D976" s="275" t="s">
        <v>450</v>
      </c>
      <c r="E976" s="240"/>
      <c r="F976" s="239"/>
      <c r="G976" s="281" t="s">
        <v>456</v>
      </c>
    </row>
    <row r="977" spans="1:7" ht="14.4" customHeight="1" x14ac:dyDescent="0.3">
      <c r="A977" s="606" t="s">
        <v>463</v>
      </c>
      <c r="B977" s="602"/>
      <c r="C977" s="228"/>
      <c r="D977" s="275" t="s">
        <v>450</v>
      </c>
      <c r="E977" s="240"/>
      <c r="F977" s="239"/>
      <c r="G977" s="281" t="s">
        <v>456</v>
      </c>
    </row>
    <row r="978" spans="1:7" ht="14.4" customHeight="1" x14ac:dyDescent="0.3">
      <c r="A978" s="606" t="s">
        <v>464</v>
      </c>
      <c r="B978" s="602"/>
      <c r="C978" s="228"/>
      <c r="D978" s="275" t="s">
        <v>450</v>
      </c>
      <c r="E978" s="240"/>
      <c r="F978" s="239"/>
      <c r="G978" s="281" t="s">
        <v>456</v>
      </c>
    </row>
    <row r="979" spans="1:7" ht="14.4" customHeight="1" x14ac:dyDescent="0.3">
      <c r="A979" s="241"/>
      <c r="B979" s="240"/>
      <c r="C979" s="228"/>
      <c r="D979" s="275"/>
      <c r="E979" s="278" t="s">
        <v>469</v>
      </c>
      <c r="F979" s="239"/>
      <c r="G979" s="232"/>
    </row>
    <row r="980" spans="1:7" ht="14.4" customHeight="1" x14ac:dyDescent="0.3">
      <c r="A980" s="606" t="s">
        <v>465</v>
      </c>
      <c r="B980" s="602"/>
      <c r="C980" s="228"/>
      <c r="D980" s="275" t="s">
        <v>457</v>
      </c>
      <c r="E980" s="235"/>
      <c r="F980" s="239"/>
      <c r="G980" s="281" t="s">
        <v>468</v>
      </c>
    </row>
    <row r="981" spans="1:7" ht="14.4" customHeight="1" x14ac:dyDescent="0.3">
      <c r="A981" s="606" t="s">
        <v>466</v>
      </c>
      <c r="B981" s="602"/>
      <c r="C981" s="228"/>
      <c r="D981" s="275" t="s">
        <v>457</v>
      </c>
      <c r="E981" s="235"/>
      <c r="F981" s="239"/>
      <c r="G981" s="281" t="s">
        <v>468</v>
      </c>
    </row>
    <row r="982" spans="1:7" x14ac:dyDescent="0.3">
      <c r="A982" s="606" t="s">
        <v>467</v>
      </c>
      <c r="B982" s="602"/>
      <c r="C982" s="228"/>
      <c r="D982" s="275" t="s">
        <v>450</v>
      </c>
      <c r="E982" s="235"/>
      <c r="F982" s="239"/>
      <c r="G982" s="281" t="s">
        <v>468</v>
      </c>
    </row>
    <row r="983" spans="1:7" x14ac:dyDescent="0.3">
      <c r="A983" s="241"/>
      <c r="B983" s="235"/>
      <c r="C983" s="228"/>
      <c r="D983" s="229"/>
      <c r="E983" s="279" t="s">
        <v>470</v>
      </c>
      <c r="F983" s="239"/>
      <c r="G983" s="232"/>
    </row>
    <row r="984" spans="1:7" ht="14.4" customHeight="1" x14ac:dyDescent="0.3">
      <c r="A984" s="606" t="s">
        <v>558</v>
      </c>
      <c r="B984" s="602"/>
      <c r="C984" s="228"/>
      <c r="D984" s="229"/>
      <c r="E984" s="235"/>
      <c r="F984" s="239"/>
      <c r="G984" s="232"/>
    </row>
    <row r="985" spans="1:7" ht="14.4" customHeight="1" x14ac:dyDescent="0.3">
      <c r="A985" s="606" t="s">
        <v>559</v>
      </c>
      <c r="B985" s="602"/>
      <c r="C985" s="228"/>
      <c r="D985" s="229"/>
      <c r="E985" s="235"/>
      <c r="F985" s="239"/>
      <c r="G985" s="232"/>
    </row>
    <row r="986" spans="1:7" ht="14.4" customHeight="1" x14ac:dyDescent="0.3">
      <c r="A986" s="606" t="s">
        <v>560</v>
      </c>
      <c r="B986" s="602"/>
      <c r="C986" s="228"/>
      <c r="D986" s="229"/>
      <c r="E986" s="235"/>
      <c r="F986" s="239"/>
      <c r="G986" s="232"/>
    </row>
    <row r="987" spans="1:7" x14ac:dyDescent="0.3">
      <c r="A987" s="602" t="s">
        <v>561</v>
      </c>
      <c r="B987" s="602"/>
      <c r="C987" s="228"/>
      <c r="D987" s="229"/>
      <c r="E987" s="235"/>
      <c r="F987" s="239"/>
      <c r="G987" s="232"/>
    </row>
    <row r="988" spans="1:7" x14ac:dyDescent="0.3">
      <c r="A988" s="607" t="s">
        <v>562</v>
      </c>
      <c r="B988" s="608"/>
      <c r="C988" s="228"/>
      <c r="D988" s="229"/>
      <c r="E988" s="235"/>
      <c r="F988" s="239"/>
      <c r="G988" s="232"/>
    </row>
    <row r="989" spans="1:7" ht="14.4" customHeight="1" x14ac:dyDescent="0.3">
      <c r="A989" s="602" t="s">
        <v>563</v>
      </c>
      <c r="B989" s="602"/>
      <c r="C989" s="228"/>
      <c r="D989" s="229"/>
      <c r="E989" s="235"/>
      <c r="F989" s="239"/>
      <c r="G989" s="232"/>
    </row>
    <row r="990" spans="1:7" x14ac:dyDescent="0.3">
      <c r="A990" s="602" t="s">
        <v>564</v>
      </c>
      <c r="B990" s="602"/>
      <c r="C990" s="228"/>
      <c r="D990" s="229"/>
      <c r="E990" s="235"/>
      <c r="F990" s="239"/>
      <c r="G990" s="232"/>
    </row>
    <row r="991" spans="1:7" ht="14.4" customHeight="1" x14ac:dyDescent="0.3">
      <c r="A991" s="602" t="s">
        <v>565</v>
      </c>
      <c r="B991" s="602"/>
      <c r="C991" s="228"/>
      <c r="D991" s="229"/>
      <c r="E991" s="235"/>
      <c r="F991" s="239"/>
      <c r="G991" s="232"/>
    </row>
    <row r="992" spans="1:7" x14ac:dyDescent="0.3">
      <c r="A992" s="602" t="s">
        <v>566</v>
      </c>
      <c r="B992" s="602"/>
      <c r="C992" s="228"/>
      <c r="D992" s="229"/>
      <c r="E992" s="235"/>
      <c r="F992" s="239"/>
      <c r="G992" s="232"/>
    </row>
    <row r="993" spans="1:7" x14ac:dyDescent="0.3">
      <c r="A993" s="602" t="s">
        <v>567</v>
      </c>
      <c r="B993" s="602"/>
      <c r="C993" s="228"/>
      <c r="D993" s="229"/>
      <c r="E993" s="235"/>
      <c r="F993" s="239"/>
      <c r="G993" s="232"/>
    </row>
    <row r="994" spans="1:7" x14ac:dyDescent="0.3">
      <c r="A994" t="s">
        <v>568</v>
      </c>
      <c r="B994" s="8"/>
      <c r="C994" s="228"/>
      <c r="D994" s="229"/>
      <c r="E994" s="235"/>
      <c r="F994" s="239"/>
      <c r="G994" s="232"/>
    </row>
    <row r="995" spans="1:7" x14ac:dyDescent="0.3">
      <c r="A995" s="603" t="s">
        <v>569</v>
      </c>
      <c r="B995" s="603"/>
      <c r="C995" s="228"/>
      <c r="D995" s="229"/>
      <c r="E995" s="235"/>
      <c r="F995" s="239"/>
      <c r="G995" s="232"/>
    </row>
    <row r="996" spans="1:7" x14ac:dyDescent="0.3">
      <c r="B996" s="8"/>
      <c r="C996" s="228"/>
      <c r="D996" s="229"/>
      <c r="E996" s="235"/>
      <c r="F996" s="239"/>
      <c r="G996" s="232"/>
    </row>
    <row r="997" spans="1:7" x14ac:dyDescent="0.3">
      <c r="B997" s="8"/>
      <c r="C997" s="228"/>
      <c r="D997" s="229"/>
      <c r="E997" s="235"/>
      <c r="F997" s="239"/>
      <c r="G997" s="232"/>
    </row>
    <row r="998" spans="1:7" x14ac:dyDescent="0.3">
      <c r="A998" s="248" t="s">
        <v>9</v>
      </c>
      <c r="B998" s="249"/>
      <c r="C998" s="266" t="s">
        <v>212</v>
      </c>
      <c r="D998" s="250"/>
      <c r="E998" s="250"/>
      <c r="F998" s="251"/>
      <c r="G998" s="252"/>
    </row>
    <row r="999" spans="1:7" x14ac:dyDescent="0.3">
      <c r="A999" s="226" t="s">
        <v>308</v>
      </c>
      <c r="B999" s="235"/>
      <c r="C999" s="228"/>
      <c r="D999" s="229"/>
      <c r="E999" s="230"/>
      <c r="F999" s="231"/>
      <c r="G999" s="232" t="s">
        <v>42</v>
      </c>
    </row>
    <row r="1000" spans="1:7" x14ac:dyDescent="0.3">
      <c r="A1000" s="237"/>
      <c r="B1000" s="230"/>
      <c r="C1000" s="228"/>
      <c r="D1000" s="230"/>
      <c r="E1000" s="230"/>
      <c r="F1000" s="231"/>
      <c r="G1000" s="232"/>
    </row>
    <row r="1001" spans="1:7" x14ac:dyDescent="0.3">
      <c r="A1001" s="604" t="s">
        <v>472</v>
      </c>
      <c r="B1001" s="605"/>
      <c r="C1001" s="228"/>
      <c r="D1001" s="230"/>
      <c r="E1001" s="230"/>
      <c r="F1001" s="231"/>
      <c r="G1001" s="232"/>
    </row>
    <row r="1002" spans="1:7" x14ac:dyDescent="0.3">
      <c r="A1002" s="237"/>
      <c r="B1002" s="230"/>
      <c r="C1002" s="228"/>
      <c r="D1002" s="230"/>
      <c r="E1002" s="230"/>
      <c r="F1002" s="231"/>
      <c r="G1002" s="232"/>
    </row>
    <row r="1003" spans="1:7" ht="15" thickBot="1" x14ac:dyDescent="0.35">
      <c r="A1003" s="253"/>
      <c r="B1003" s="254"/>
      <c r="C1003" s="255"/>
      <c r="D1003" s="254"/>
      <c r="E1003" s="254"/>
      <c r="F1003" s="256"/>
      <c r="G1003" s="257"/>
    </row>
    <row r="1006" spans="1:7" ht="28.8" x14ac:dyDescent="0.3">
      <c r="A1006" s="596" t="s">
        <v>557</v>
      </c>
      <c r="B1006" s="596"/>
      <c r="C1006" s="596"/>
      <c r="D1006" s="596"/>
      <c r="E1006" s="596"/>
      <c r="F1006" s="596"/>
      <c r="G1006" s="596"/>
    </row>
    <row r="1007" spans="1:7" ht="28.8" x14ac:dyDescent="0.3">
      <c r="A1007" s="150"/>
      <c r="B1007" s="150"/>
      <c r="C1007" s="150"/>
      <c r="D1007" s="150"/>
      <c r="E1007" s="150"/>
      <c r="F1007" s="150"/>
      <c r="G1007" s="150"/>
    </row>
    <row r="1008" spans="1:7" ht="21.6" thickBot="1" x14ac:dyDescent="0.45">
      <c r="A1008" s="597" t="s">
        <v>570</v>
      </c>
      <c r="B1008" s="597"/>
      <c r="C1008" s="597"/>
      <c r="D1008" s="597"/>
      <c r="E1008" s="597"/>
      <c r="F1008" s="597"/>
      <c r="G1008" s="597"/>
    </row>
    <row r="1009" spans="1:7" ht="18.600000000000001" thickBot="1" x14ac:dyDescent="0.35">
      <c r="A1009" s="360" t="s">
        <v>235</v>
      </c>
      <c r="B1009" s="361" t="s">
        <v>34</v>
      </c>
      <c r="C1009" s="361" t="s">
        <v>1</v>
      </c>
      <c r="D1009" s="623" t="s">
        <v>4</v>
      </c>
      <c r="E1009" s="624"/>
      <c r="F1009" s="361" t="s">
        <v>2</v>
      </c>
      <c r="G1009" s="362" t="s">
        <v>3</v>
      </c>
    </row>
    <row r="1010" spans="1:7" ht="15" thickBot="1" x14ac:dyDescent="0.35">
      <c r="A1010" s="363" t="s">
        <v>237</v>
      </c>
      <c r="B1010" s="355"/>
      <c r="C1010" s="356" t="s">
        <v>208</v>
      </c>
      <c r="D1010" s="357"/>
      <c r="E1010" s="357"/>
      <c r="F1010" s="358"/>
      <c r="G1010" s="359"/>
    </row>
    <row r="1011" spans="1:7" ht="28.8" x14ac:dyDescent="0.3">
      <c r="A1011" s="349" t="s">
        <v>247</v>
      </c>
      <c r="B1011" s="350" t="s">
        <v>248</v>
      </c>
      <c r="C1011" s="351"/>
      <c r="D1011" s="625"/>
      <c r="E1011" s="626"/>
      <c r="F1011" s="352">
        <v>45443</v>
      </c>
      <c r="G1011" s="327" t="s">
        <v>505</v>
      </c>
    </row>
    <row r="1012" spans="1:7" ht="28.8" x14ac:dyDescent="0.3">
      <c r="A1012" s="348" t="s">
        <v>506</v>
      </c>
      <c r="B1012" s="301" t="s">
        <v>234</v>
      </c>
      <c r="C1012" s="296"/>
      <c r="D1012" s="627"/>
      <c r="E1012" s="628"/>
      <c r="F1012" s="298"/>
      <c r="G1012" s="319" t="s">
        <v>540</v>
      </c>
    </row>
    <row r="1013" spans="1:7" x14ac:dyDescent="0.3">
      <c r="A1013" s="175" t="s">
        <v>228</v>
      </c>
      <c r="B1013" s="364" t="e">
        <f>#REF!</f>
        <v>#REF!</v>
      </c>
      <c r="C1013" s="69"/>
      <c r="D1013" s="197" t="s">
        <v>429</v>
      </c>
      <c r="E1013" s="198"/>
      <c r="F1013" s="70"/>
      <c r="G1013" s="192" t="s">
        <v>42</v>
      </c>
    </row>
    <row r="1014" spans="1:7" x14ac:dyDescent="0.3">
      <c r="A1014" s="1" t="s">
        <v>508</v>
      </c>
      <c r="B1014" t="s">
        <v>509</v>
      </c>
      <c r="C1014" s="6"/>
      <c r="D1014" s="614" t="s">
        <v>571</v>
      </c>
      <c r="E1014" s="615"/>
      <c r="F1014" s="46"/>
      <c r="G1014" s="322" t="s">
        <v>548</v>
      </c>
    </row>
    <row r="1015" spans="1:7" x14ac:dyDescent="0.3">
      <c r="A1015" s="186" t="s">
        <v>323</v>
      </c>
      <c r="B1015" s="81" t="s">
        <v>250</v>
      </c>
      <c r="C1015" s="22"/>
      <c r="D1015" s="612" t="s">
        <v>61</v>
      </c>
      <c r="E1015" s="613"/>
      <c r="F1015" s="46"/>
      <c r="G1015" s="317"/>
    </row>
    <row r="1016" spans="1:7" x14ac:dyDescent="0.3">
      <c r="A1016" s="1" t="s">
        <v>335</v>
      </c>
      <c r="B1016" t="s">
        <v>337</v>
      </c>
      <c r="C1016" s="6"/>
      <c r="D1016" s="612" t="s">
        <v>61</v>
      </c>
      <c r="E1016" s="613"/>
      <c r="F1016" s="6"/>
      <c r="G1016" s="317"/>
    </row>
    <row r="1017" spans="1:7" x14ac:dyDescent="0.3">
      <c r="A1017" s="186" t="s">
        <v>476</v>
      </c>
      <c r="B1017" t="s">
        <v>249</v>
      </c>
      <c r="C1017" s="6"/>
      <c r="D1017" s="612" t="s">
        <v>511</v>
      </c>
      <c r="E1017" s="613"/>
      <c r="F1017" s="46"/>
      <c r="G1017" s="317"/>
    </row>
    <row r="1018" spans="1:7" x14ac:dyDescent="0.3">
      <c r="A1018" s="1" t="s">
        <v>242</v>
      </c>
      <c r="B1018" t="s">
        <v>324</v>
      </c>
      <c r="C1018" s="6"/>
      <c r="D1018" s="612" t="s">
        <v>512</v>
      </c>
      <c r="E1018" s="613"/>
      <c r="F1018" s="6"/>
      <c r="G1018" s="317" t="s">
        <v>572</v>
      </c>
    </row>
    <row r="1019" spans="1:7" x14ac:dyDescent="0.3">
      <c r="A1019" s="13" t="s">
        <v>320</v>
      </c>
      <c r="B1019" s="169" t="s">
        <v>338</v>
      </c>
      <c r="C1019" s="193"/>
      <c r="D1019" s="612" t="s">
        <v>61</v>
      </c>
      <c r="E1019" s="613"/>
      <c r="F1019" s="191"/>
      <c r="G1019" s="292"/>
    </row>
    <row r="1020" spans="1:7" x14ac:dyDescent="0.3">
      <c r="A1020" s="175" t="s">
        <v>243</v>
      </c>
      <c r="B1020" s="174" t="s">
        <v>251</v>
      </c>
      <c r="C1020" s="194" t="s">
        <v>388</v>
      </c>
      <c r="D1020" s="614" t="s">
        <v>541</v>
      </c>
      <c r="E1020" s="615"/>
      <c r="F1020" s="70">
        <v>45533</v>
      </c>
      <c r="G1020" s="223"/>
    </row>
    <row r="1021" spans="1:7" ht="28.8" x14ac:dyDescent="0.3">
      <c r="A1021" s="318" t="s">
        <v>332</v>
      </c>
      <c r="B1021" s="301" t="s">
        <v>350</v>
      </c>
      <c r="C1021" s="297" t="s">
        <v>525</v>
      </c>
      <c r="D1021" s="616" t="s">
        <v>550</v>
      </c>
      <c r="E1021" s="617"/>
      <c r="F1021" s="298"/>
      <c r="G1021" s="319" t="s">
        <v>552</v>
      </c>
    </row>
    <row r="1022" spans="1:7" ht="28.8" x14ac:dyDescent="0.3">
      <c r="A1022" s="286" t="s">
        <v>348</v>
      </c>
      <c r="B1022" s="69" t="e">
        <f>#REF!</f>
        <v>#REF!</v>
      </c>
      <c r="C1022" s="194"/>
      <c r="D1022" s="618"/>
      <c r="E1022" s="618"/>
      <c r="F1022" s="70"/>
      <c r="G1022" s="328" t="s">
        <v>515</v>
      </c>
    </row>
    <row r="1023" spans="1:7" ht="28.8" x14ac:dyDescent="0.3">
      <c r="A1023" s="285" t="s">
        <v>478</v>
      </c>
      <c r="B1023" s="296" t="s">
        <v>417</v>
      </c>
      <c r="C1023" s="297"/>
      <c r="D1023" s="609" t="s">
        <v>262</v>
      </c>
      <c r="E1023" s="609"/>
      <c r="F1023" s="298"/>
      <c r="G1023" s="339" t="s">
        <v>551</v>
      </c>
    </row>
    <row r="1024" spans="1:7" ht="28.8" x14ac:dyDescent="0.3">
      <c r="A1024" s="338" t="s">
        <v>491</v>
      </c>
      <c r="B1024" s="296" t="s">
        <v>516</v>
      </c>
      <c r="C1024" s="297"/>
      <c r="D1024" s="609" t="s">
        <v>517</v>
      </c>
      <c r="E1024" s="609"/>
      <c r="F1024" s="298"/>
      <c r="G1024" s="330" t="s">
        <v>553</v>
      </c>
    </row>
    <row r="1025" spans="1:7" ht="43.2" x14ac:dyDescent="0.3">
      <c r="A1025" s="285" t="s">
        <v>518</v>
      </c>
      <c r="B1025" s="125" t="s">
        <v>519</v>
      </c>
      <c r="C1025" s="297"/>
      <c r="D1025" s="609" t="s">
        <v>520</v>
      </c>
      <c r="E1025" s="609"/>
      <c r="F1025" s="320">
        <v>45531</v>
      </c>
      <c r="G1025" s="330" t="s">
        <v>554</v>
      </c>
    </row>
    <row r="1026" spans="1:7" ht="28.8" x14ac:dyDescent="0.3">
      <c r="A1026" s="285" t="s">
        <v>521</v>
      </c>
      <c r="B1026" s="69" t="s">
        <v>522</v>
      </c>
      <c r="C1026" s="297"/>
      <c r="D1026" s="609" t="s">
        <v>555</v>
      </c>
      <c r="E1026" s="609"/>
      <c r="F1026" s="320">
        <v>45531</v>
      </c>
      <c r="G1026" s="330" t="s">
        <v>554</v>
      </c>
    </row>
    <row r="1027" spans="1:7" x14ac:dyDescent="0.3">
      <c r="A1027" s="285" t="s">
        <v>523</v>
      </c>
      <c r="B1027" s="69" t="s">
        <v>524</v>
      </c>
      <c r="C1027" s="297" t="s">
        <v>525</v>
      </c>
      <c r="D1027" s="609" t="s">
        <v>526</v>
      </c>
      <c r="E1027" s="609"/>
      <c r="F1027" s="320">
        <v>45532</v>
      </c>
      <c r="G1027" s="331" t="s">
        <v>556</v>
      </c>
    </row>
    <row r="1028" spans="1:7" x14ac:dyDescent="0.3">
      <c r="A1028" s="285" t="s">
        <v>542</v>
      </c>
      <c r="B1028" s="69" t="s">
        <v>543</v>
      </c>
      <c r="C1028" s="297"/>
      <c r="D1028" s="587" t="s">
        <v>544</v>
      </c>
      <c r="E1028" s="587"/>
      <c r="F1028" s="298"/>
      <c r="G1028" s="299"/>
    </row>
    <row r="1029" spans="1:7" x14ac:dyDescent="0.3">
      <c r="A1029" s="285" t="s">
        <v>545</v>
      </c>
      <c r="B1029" s="69"/>
      <c r="C1029" s="297" t="s">
        <v>546</v>
      </c>
      <c r="D1029" s="587" t="s">
        <v>547</v>
      </c>
      <c r="E1029" s="587"/>
      <c r="F1029" s="298">
        <v>45534</v>
      </c>
      <c r="G1029" s="299"/>
    </row>
    <row r="1030" spans="1:7" ht="15" thickBot="1" x14ac:dyDescent="0.35">
      <c r="A1030" s="332"/>
      <c r="B1030" s="333"/>
      <c r="C1030" s="334"/>
      <c r="D1030" s="335"/>
      <c r="E1030" s="336"/>
      <c r="F1030" s="337"/>
      <c r="G1030" s="207"/>
    </row>
    <row r="1031" spans="1:7" ht="15" thickBot="1" x14ac:dyDescent="0.35">
      <c r="A1031" s="354" t="s">
        <v>238</v>
      </c>
      <c r="B1031" s="355"/>
      <c r="C1031" s="356" t="s">
        <v>211</v>
      </c>
      <c r="D1031" s="357"/>
      <c r="E1031" s="357"/>
      <c r="F1031" s="358"/>
      <c r="G1031" s="359"/>
    </row>
    <row r="1032" spans="1:7" x14ac:dyDescent="0.3">
      <c r="A1032" s="1" t="s">
        <v>242</v>
      </c>
      <c r="B1032" t="s">
        <v>324</v>
      </c>
      <c r="C1032" s="193"/>
      <c r="D1032" s="353"/>
      <c r="E1032" s="72"/>
      <c r="F1032" s="191"/>
      <c r="G1032" s="101" t="s">
        <v>583</v>
      </c>
    </row>
    <row r="1033" spans="1:7" x14ac:dyDescent="0.3">
      <c r="A1033" s="288" t="s">
        <v>527</v>
      </c>
      <c r="B1033" s="174" t="s">
        <v>524</v>
      </c>
      <c r="C1033" s="194"/>
      <c r="D1033" s="197"/>
      <c r="E1033" s="198"/>
      <c r="F1033" s="70"/>
      <c r="G1033" s="101" t="s">
        <v>582</v>
      </c>
    </row>
    <row r="1034" spans="1:7" x14ac:dyDescent="0.3">
      <c r="A1034" s="290" t="s">
        <v>428</v>
      </c>
      <c r="B1034" s="125"/>
      <c r="C1034" s="194"/>
      <c r="D1034" s="283"/>
      <c r="E1034" s="283"/>
      <c r="F1034" s="69"/>
      <c r="G1034" s="101" t="s">
        <v>582</v>
      </c>
    </row>
    <row r="1035" spans="1:7" x14ac:dyDescent="0.3">
      <c r="A1035" s="290" t="s">
        <v>581</v>
      </c>
      <c r="B1035" s="125"/>
      <c r="C1035" s="194"/>
      <c r="D1035" s="283"/>
      <c r="E1035" s="283"/>
      <c r="F1035" s="69"/>
      <c r="G1035" s="101" t="s">
        <v>582</v>
      </c>
    </row>
    <row r="1036" spans="1:7" ht="28.8" x14ac:dyDescent="0.3">
      <c r="A1036" s="318" t="s">
        <v>332</v>
      </c>
      <c r="B1036" s="301" t="s">
        <v>350</v>
      </c>
      <c r="C1036" s="297" t="s">
        <v>525</v>
      </c>
      <c r="D1036" s="616" t="s">
        <v>550</v>
      </c>
      <c r="E1036" s="617"/>
      <c r="F1036" s="298"/>
      <c r="G1036" s="319" t="s">
        <v>552</v>
      </c>
    </row>
    <row r="1037" spans="1:7" x14ac:dyDescent="0.3">
      <c r="A1037" s="285" t="s">
        <v>246</v>
      </c>
      <c r="B1037" s="137"/>
      <c r="C1037" s="194"/>
      <c r="D1037" s="282"/>
      <c r="E1037" s="69"/>
      <c r="F1037" s="70">
        <v>45531</v>
      </c>
      <c r="G1037" s="291" t="s">
        <v>42</v>
      </c>
    </row>
    <row r="1038" spans="1:7" x14ac:dyDescent="0.3">
      <c r="A1038" s="47"/>
      <c r="B1038" s="163"/>
      <c r="C1038" s="22"/>
      <c r="D1038" s="48"/>
      <c r="F1038" s="6"/>
      <c r="G1038" s="2"/>
    </row>
    <row r="1039" spans="1:7" ht="15" thickBot="1" x14ac:dyDescent="0.35">
      <c r="A1039" s="188"/>
      <c r="B1039" s="189"/>
      <c r="C1039" s="23"/>
      <c r="D1039" s="190"/>
      <c r="E1039" s="4"/>
      <c r="F1039" s="7"/>
      <c r="G1039" s="5"/>
    </row>
    <row r="1040" spans="1:7" x14ac:dyDescent="0.3">
      <c r="A1040" s="60" t="s">
        <v>236</v>
      </c>
      <c r="B1040" s="162"/>
      <c r="C1040" s="61" t="s">
        <v>239</v>
      </c>
      <c r="D1040" s="62"/>
      <c r="E1040" s="62"/>
      <c r="F1040" s="63"/>
      <c r="G1040" s="64"/>
    </row>
    <row r="1041" spans="1:7" ht="28.8" x14ac:dyDescent="0.3">
      <c r="A1041" s="343" t="s">
        <v>502</v>
      </c>
      <c r="B1041" s="344"/>
      <c r="C1041" s="345"/>
      <c r="D1041" s="346" t="s">
        <v>573</v>
      </c>
      <c r="E1041" s="347" t="s">
        <v>503</v>
      </c>
      <c r="F1041" s="308"/>
      <c r="G1041" s="340" t="s">
        <v>580</v>
      </c>
    </row>
    <row r="1042" spans="1:7" ht="28.8" x14ac:dyDescent="0.3">
      <c r="A1042" s="267" t="s">
        <v>270</v>
      </c>
      <c r="B1042" s="141"/>
      <c r="C1042" s="263"/>
      <c r="D1042" s="264"/>
      <c r="E1042" s="303" t="s">
        <v>532</v>
      </c>
      <c r="F1042" s="265"/>
      <c r="G1042" s="322" t="s">
        <v>574</v>
      </c>
    </row>
    <row r="1043" spans="1:7" ht="28.8" x14ac:dyDescent="0.3">
      <c r="A1043" s="267" t="s">
        <v>534</v>
      </c>
      <c r="B1043" s="141"/>
      <c r="C1043" s="263"/>
      <c r="D1043" s="263" t="s">
        <v>281</v>
      </c>
      <c r="E1043" s="265" t="s">
        <v>282</v>
      </c>
      <c r="F1043" s="265"/>
      <c r="G1043" s="268" t="s">
        <v>535</v>
      </c>
    </row>
    <row r="1044" spans="1:7" ht="28.8" x14ac:dyDescent="0.3">
      <c r="A1044" s="267" t="s">
        <v>424</v>
      </c>
      <c r="B1044" s="141"/>
      <c r="C1044" s="610" t="s">
        <v>473</v>
      </c>
      <c r="D1044" s="611"/>
      <c r="E1044" s="265" t="s">
        <v>440</v>
      </c>
      <c r="F1044" s="265"/>
      <c r="G1044" s="322" t="s">
        <v>575</v>
      </c>
    </row>
    <row r="1045" spans="1:7" x14ac:dyDescent="0.3">
      <c r="A1045" s="341" t="s">
        <v>576</v>
      </c>
      <c r="B1045" s="141"/>
      <c r="C1045" s="342"/>
      <c r="D1045" s="342"/>
      <c r="E1045" s="265"/>
      <c r="F1045" s="265"/>
      <c r="G1045" s="303" t="s">
        <v>577</v>
      </c>
    </row>
    <row r="1046" spans="1:7" x14ac:dyDescent="0.3">
      <c r="A1046" s="341" t="s">
        <v>578</v>
      </c>
      <c r="B1046" s="141"/>
      <c r="C1046" s="342"/>
      <c r="D1046" s="342"/>
      <c r="E1046" s="265"/>
      <c r="F1046" s="265"/>
      <c r="G1046" s="303" t="s">
        <v>579</v>
      </c>
    </row>
    <row r="1047" spans="1:7" x14ac:dyDescent="0.3">
      <c r="A1047" s="606" t="s">
        <v>452</v>
      </c>
      <c r="B1047" s="602"/>
      <c r="C1047" s="228"/>
      <c r="D1047" s="229" t="s">
        <v>450</v>
      </c>
      <c r="E1047" s="365"/>
      <c r="F1047" s="231"/>
      <c r="G1047" s="280" t="s">
        <v>454</v>
      </c>
    </row>
    <row r="1048" spans="1:7" x14ac:dyDescent="0.3">
      <c r="A1048" s="606" t="s">
        <v>451</v>
      </c>
      <c r="B1048" s="602"/>
      <c r="C1048" s="228"/>
      <c r="D1048" s="229" t="s">
        <v>450</v>
      </c>
      <c r="E1048" s="366"/>
      <c r="F1048" s="231"/>
      <c r="G1048" s="280" t="s">
        <v>454</v>
      </c>
    </row>
    <row r="1049" spans="1:7" x14ac:dyDescent="0.3">
      <c r="A1049" s="606" t="s">
        <v>453</v>
      </c>
      <c r="B1049" s="602"/>
      <c r="C1049" s="228"/>
      <c r="D1049" s="229" t="s">
        <v>450</v>
      </c>
      <c r="E1049" s="366"/>
      <c r="F1049" s="231"/>
      <c r="G1049" s="280" t="s">
        <v>454</v>
      </c>
    </row>
    <row r="1050" spans="1:7" x14ac:dyDescent="0.3">
      <c r="A1050" s="241"/>
      <c r="B1050" s="240"/>
      <c r="C1050" s="228"/>
      <c r="D1050" s="229"/>
      <c r="E1050" s="366"/>
      <c r="F1050" s="231"/>
      <c r="G1050" s="232"/>
    </row>
    <row r="1051" spans="1:7" x14ac:dyDescent="0.3">
      <c r="A1051" s="606" t="s">
        <v>455</v>
      </c>
      <c r="B1051" s="602"/>
      <c r="C1051" s="228"/>
      <c r="D1051" s="275" t="s">
        <v>457</v>
      </c>
      <c r="E1051" s="367"/>
      <c r="F1051" s="231"/>
      <c r="G1051" s="281" t="s">
        <v>456</v>
      </c>
    </row>
    <row r="1052" spans="1:7" x14ac:dyDescent="0.3">
      <c r="A1052" s="606" t="s">
        <v>458</v>
      </c>
      <c r="B1052" s="602"/>
      <c r="C1052" s="228"/>
      <c r="D1052" s="275" t="s">
        <v>450</v>
      </c>
      <c r="E1052" s="367"/>
      <c r="F1052" s="231"/>
      <c r="G1052" s="281" t="s">
        <v>456</v>
      </c>
    </row>
    <row r="1053" spans="1:7" x14ac:dyDescent="0.3">
      <c r="A1053" s="606" t="s">
        <v>459</v>
      </c>
      <c r="B1053" s="602"/>
      <c r="C1053" s="228"/>
      <c r="D1053" s="275" t="s">
        <v>450</v>
      </c>
      <c r="E1053" s="367"/>
      <c r="F1053" s="231"/>
      <c r="G1053" s="281" t="s">
        <v>456</v>
      </c>
    </row>
    <row r="1054" spans="1:7" x14ac:dyDescent="0.3">
      <c r="A1054" s="606" t="s">
        <v>460</v>
      </c>
      <c r="B1054" s="602"/>
      <c r="C1054" s="228"/>
      <c r="D1054" s="275" t="s">
        <v>450</v>
      </c>
      <c r="E1054" s="367"/>
      <c r="F1054" s="231"/>
      <c r="G1054" s="281" t="s">
        <v>456</v>
      </c>
    </row>
    <row r="1055" spans="1:7" x14ac:dyDescent="0.3">
      <c r="A1055" s="606" t="s">
        <v>461</v>
      </c>
      <c r="B1055" s="602"/>
      <c r="C1055" s="228"/>
      <c r="D1055" s="275" t="s">
        <v>457</v>
      </c>
      <c r="E1055" s="367"/>
      <c r="F1055" s="231"/>
      <c r="G1055" s="281" t="s">
        <v>456</v>
      </c>
    </row>
    <row r="1056" spans="1:7" x14ac:dyDescent="0.3">
      <c r="A1056" s="606" t="s">
        <v>462</v>
      </c>
      <c r="B1056" s="602"/>
      <c r="C1056" s="228"/>
      <c r="D1056" s="275" t="s">
        <v>450</v>
      </c>
      <c r="E1056" s="367"/>
      <c r="F1056" s="231"/>
      <c r="G1056" s="281" t="s">
        <v>456</v>
      </c>
    </row>
    <row r="1057" spans="1:7" x14ac:dyDescent="0.3">
      <c r="A1057" s="606" t="s">
        <v>463</v>
      </c>
      <c r="B1057" s="602"/>
      <c r="C1057" s="228"/>
      <c r="D1057" s="275" t="s">
        <v>450</v>
      </c>
      <c r="E1057" s="367"/>
      <c r="F1057" s="231"/>
      <c r="G1057" s="281" t="s">
        <v>456</v>
      </c>
    </row>
    <row r="1058" spans="1:7" x14ac:dyDescent="0.3">
      <c r="A1058" s="606" t="s">
        <v>464</v>
      </c>
      <c r="B1058" s="602"/>
      <c r="C1058" s="228"/>
      <c r="D1058" s="275" t="s">
        <v>450</v>
      </c>
      <c r="E1058" s="367"/>
      <c r="F1058" s="231"/>
      <c r="G1058" s="281" t="s">
        <v>456</v>
      </c>
    </row>
    <row r="1059" spans="1:7" x14ac:dyDescent="0.3">
      <c r="A1059" s="241"/>
      <c r="B1059" s="240"/>
      <c r="C1059" s="228"/>
      <c r="D1059" s="275"/>
      <c r="E1059" s="368" t="s">
        <v>469</v>
      </c>
      <c r="F1059" s="231"/>
      <c r="G1059" s="232"/>
    </row>
    <row r="1060" spans="1:7" x14ac:dyDescent="0.3">
      <c r="A1060" s="606" t="s">
        <v>465</v>
      </c>
      <c r="B1060" s="602"/>
      <c r="C1060" s="228"/>
      <c r="D1060" s="275" t="s">
        <v>457</v>
      </c>
      <c r="E1060" s="367"/>
      <c r="F1060" s="231"/>
      <c r="G1060" s="281" t="s">
        <v>468</v>
      </c>
    </row>
    <row r="1061" spans="1:7" x14ac:dyDescent="0.3">
      <c r="A1061" s="606" t="s">
        <v>466</v>
      </c>
      <c r="B1061" s="602"/>
      <c r="C1061" s="228"/>
      <c r="D1061" s="275" t="s">
        <v>457</v>
      </c>
      <c r="E1061" s="367"/>
      <c r="F1061" s="231"/>
      <c r="G1061" s="281" t="s">
        <v>468</v>
      </c>
    </row>
    <row r="1062" spans="1:7" x14ac:dyDescent="0.3">
      <c r="A1062" s="606" t="s">
        <v>467</v>
      </c>
      <c r="B1062" s="602"/>
      <c r="C1062" s="228"/>
      <c r="D1062" s="275" t="s">
        <v>450</v>
      </c>
      <c r="E1062" s="367"/>
      <c r="F1062" s="231"/>
      <c r="G1062" s="281" t="s">
        <v>468</v>
      </c>
    </row>
    <row r="1063" spans="1:7" x14ac:dyDescent="0.3">
      <c r="A1063" s="241"/>
      <c r="B1063" s="235"/>
      <c r="C1063" s="228"/>
      <c r="D1063" s="229"/>
      <c r="E1063" s="369" t="s">
        <v>470</v>
      </c>
      <c r="F1063" s="231"/>
      <c r="G1063" s="232"/>
    </row>
    <row r="1064" spans="1:7" x14ac:dyDescent="0.3">
      <c r="A1064" s="606" t="s">
        <v>558</v>
      </c>
      <c r="B1064" s="602"/>
      <c r="C1064" s="228"/>
      <c r="D1064" s="229"/>
      <c r="E1064" s="367"/>
      <c r="F1064" s="231"/>
      <c r="G1064" s="232"/>
    </row>
    <row r="1065" spans="1:7" x14ac:dyDescent="0.3">
      <c r="A1065" s="606" t="s">
        <v>559</v>
      </c>
      <c r="B1065" s="602"/>
      <c r="C1065" s="228"/>
      <c r="D1065" s="229"/>
      <c r="E1065" s="367"/>
      <c r="F1065" s="231"/>
      <c r="G1065" s="232"/>
    </row>
    <row r="1066" spans="1:7" x14ac:dyDescent="0.3">
      <c r="A1066" s="606" t="s">
        <v>560</v>
      </c>
      <c r="B1066" s="602"/>
      <c r="C1066" s="228"/>
      <c r="D1066" s="229"/>
      <c r="E1066" s="367"/>
      <c r="F1066" s="231"/>
      <c r="G1066" s="232"/>
    </row>
    <row r="1067" spans="1:7" x14ac:dyDescent="0.3">
      <c r="A1067" s="602" t="s">
        <v>561</v>
      </c>
      <c r="B1067" s="602"/>
      <c r="C1067" s="228"/>
      <c r="D1067" s="229"/>
      <c r="E1067" s="367"/>
      <c r="F1067" s="231"/>
      <c r="G1067" s="232"/>
    </row>
    <row r="1068" spans="1:7" x14ac:dyDescent="0.3">
      <c r="A1068" s="607" t="s">
        <v>562</v>
      </c>
      <c r="B1068" s="608"/>
      <c r="C1068" s="228"/>
      <c r="D1068" s="229"/>
      <c r="E1068" s="367"/>
      <c r="F1068" s="231"/>
      <c r="G1068" s="232"/>
    </row>
    <row r="1069" spans="1:7" x14ac:dyDescent="0.3">
      <c r="A1069" s="602" t="s">
        <v>563</v>
      </c>
      <c r="B1069" s="602"/>
      <c r="C1069" s="228"/>
      <c r="D1069" s="229"/>
      <c r="E1069" s="367"/>
      <c r="F1069" s="231"/>
      <c r="G1069" s="232"/>
    </row>
    <row r="1070" spans="1:7" x14ac:dyDescent="0.3">
      <c r="A1070" s="602" t="s">
        <v>564</v>
      </c>
      <c r="B1070" s="602"/>
      <c r="C1070" s="228"/>
      <c r="D1070" s="229"/>
      <c r="E1070" s="367"/>
      <c r="F1070" s="231"/>
      <c r="G1070" s="232"/>
    </row>
    <row r="1071" spans="1:7" x14ac:dyDescent="0.3">
      <c r="A1071" s="602" t="s">
        <v>565</v>
      </c>
      <c r="B1071" s="602"/>
      <c r="C1071" s="228"/>
      <c r="D1071" s="229"/>
      <c r="E1071" s="367"/>
      <c r="F1071" s="231"/>
      <c r="G1071" s="232"/>
    </row>
    <row r="1072" spans="1:7" x14ac:dyDescent="0.3">
      <c r="A1072" s="602" t="s">
        <v>566</v>
      </c>
      <c r="B1072" s="602"/>
      <c r="C1072" s="228"/>
      <c r="D1072" s="229"/>
      <c r="E1072" s="367"/>
      <c r="F1072" s="231"/>
      <c r="G1072" s="232"/>
    </row>
    <row r="1073" spans="1:7" x14ac:dyDescent="0.3">
      <c r="A1073" s="602" t="s">
        <v>567</v>
      </c>
      <c r="B1073" s="602"/>
      <c r="C1073" s="228"/>
      <c r="D1073" s="229"/>
      <c r="E1073" s="367"/>
      <c r="F1073" s="231"/>
      <c r="G1073" s="232"/>
    </row>
    <row r="1074" spans="1:7" x14ac:dyDescent="0.3">
      <c r="A1074" t="s">
        <v>568</v>
      </c>
      <c r="B1074" s="8"/>
      <c r="C1074" s="228"/>
      <c r="D1074" s="229"/>
      <c r="E1074" s="367"/>
      <c r="F1074" s="231"/>
      <c r="G1074" s="232"/>
    </row>
    <row r="1075" spans="1:7" x14ac:dyDescent="0.3">
      <c r="A1075" s="603" t="s">
        <v>569</v>
      </c>
      <c r="B1075" s="603"/>
      <c r="C1075" s="228"/>
      <c r="D1075" s="229"/>
      <c r="E1075" s="367"/>
      <c r="F1075" s="231"/>
      <c r="G1075" s="232"/>
    </row>
    <row r="1076" spans="1:7" x14ac:dyDescent="0.3">
      <c r="B1076" s="8"/>
      <c r="C1076" s="228"/>
      <c r="D1076" s="229"/>
      <c r="E1076" s="367"/>
      <c r="F1076" s="231"/>
      <c r="G1076" s="232"/>
    </row>
    <row r="1077" spans="1:7" ht="15" thickBot="1" x14ac:dyDescent="0.35">
      <c r="B1077" s="8"/>
      <c r="C1077" s="228"/>
      <c r="D1077" s="229"/>
      <c r="E1077" s="367"/>
      <c r="F1077" s="231"/>
      <c r="G1077" s="232"/>
    </row>
    <row r="1078" spans="1:7" ht="15" thickBot="1" x14ac:dyDescent="0.35">
      <c r="A1078" s="370" t="s">
        <v>9</v>
      </c>
      <c r="B1078" s="371"/>
      <c r="C1078" s="372" t="s">
        <v>212</v>
      </c>
      <c r="D1078" s="373"/>
      <c r="E1078" s="373"/>
      <c r="F1078" s="374"/>
      <c r="G1078" s="375"/>
    </row>
    <row r="1079" spans="1:7" x14ac:dyDescent="0.3">
      <c r="A1079" s="226" t="s">
        <v>308</v>
      </c>
      <c r="B1079" s="235"/>
      <c r="C1079" s="228"/>
      <c r="D1079" s="229"/>
      <c r="E1079" s="230"/>
      <c r="F1079" s="231"/>
      <c r="G1079" s="232" t="s">
        <v>42</v>
      </c>
    </row>
    <row r="1080" spans="1:7" x14ac:dyDescent="0.3">
      <c r="A1080" s="237"/>
      <c r="B1080" s="230"/>
      <c r="C1080" s="228"/>
      <c r="D1080" s="230"/>
      <c r="E1080" s="230"/>
      <c r="F1080" s="231"/>
      <c r="G1080" s="232"/>
    </row>
    <row r="1081" spans="1:7" x14ac:dyDescent="0.3">
      <c r="A1081" s="604" t="s">
        <v>472</v>
      </c>
      <c r="B1081" s="605"/>
      <c r="C1081" s="228"/>
      <c r="D1081" s="230"/>
      <c r="E1081" s="230"/>
      <c r="F1081" s="231"/>
      <c r="G1081" s="232"/>
    </row>
    <row r="1082" spans="1:7" x14ac:dyDescent="0.3">
      <c r="A1082" s="237"/>
      <c r="B1082" s="230"/>
      <c r="C1082" s="228"/>
      <c r="D1082" s="230"/>
      <c r="E1082" s="230"/>
      <c r="F1082" s="231"/>
      <c r="G1082" s="232"/>
    </row>
    <row r="1083" spans="1:7" ht="15" thickBot="1" x14ac:dyDescent="0.35">
      <c r="A1083" s="253"/>
      <c r="B1083" s="254"/>
      <c r="C1083" s="255"/>
      <c r="D1083" s="254"/>
      <c r="E1083" s="254"/>
      <c r="F1083" s="256"/>
      <c r="G1083" s="257"/>
    </row>
    <row r="1086" spans="1:7" ht="28.8" x14ac:dyDescent="0.3">
      <c r="A1086" s="596" t="s">
        <v>557</v>
      </c>
      <c r="B1086" s="596"/>
      <c r="C1086" s="596"/>
      <c r="D1086" s="596"/>
      <c r="E1086" s="596"/>
      <c r="F1086" s="596"/>
      <c r="G1086" s="596"/>
    </row>
    <row r="1087" spans="1:7" ht="28.8" x14ac:dyDescent="0.3">
      <c r="A1087" s="150"/>
      <c r="B1087" s="150"/>
      <c r="C1087" s="150"/>
      <c r="D1087" s="150"/>
      <c r="E1087" s="150"/>
      <c r="F1087" s="150"/>
      <c r="G1087" s="150"/>
    </row>
    <row r="1088" spans="1:7" ht="21.6" thickBot="1" x14ac:dyDescent="0.45">
      <c r="A1088" s="597" t="s">
        <v>584</v>
      </c>
      <c r="B1088" s="597"/>
      <c r="C1088" s="597"/>
      <c r="D1088" s="597"/>
      <c r="E1088" s="597"/>
      <c r="F1088" s="597"/>
      <c r="G1088" s="597"/>
    </row>
    <row r="1089" spans="1:7" ht="18.600000000000001" thickBot="1" x14ac:dyDescent="0.35">
      <c r="A1089" s="20" t="s">
        <v>235</v>
      </c>
      <c r="B1089" s="284" t="s">
        <v>34</v>
      </c>
      <c r="C1089" s="21" t="s">
        <v>1</v>
      </c>
      <c r="D1089" s="598" t="s">
        <v>4</v>
      </c>
      <c r="E1089" s="599"/>
      <c r="F1089" s="21" t="s">
        <v>2</v>
      </c>
      <c r="G1089" s="19" t="s">
        <v>3</v>
      </c>
    </row>
    <row r="1090" spans="1:7" ht="15" thickBot="1" x14ac:dyDescent="0.35">
      <c r="A1090" s="219" t="s">
        <v>237</v>
      </c>
      <c r="B1090" s="164"/>
      <c r="C1090" s="61" t="s">
        <v>208</v>
      </c>
      <c r="D1090" s="62"/>
      <c r="E1090" s="62"/>
      <c r="F1090" s="63"/>
      <c r="G1090" s="64"/>
    </row>
    <row r="1091" spans="1:7" ht="28.8" x14ac:dyDescent="0.3">
      <c r="A1091" s="323" t="s">
        <v>247</v>
      </c>
      <c r="B1091" s="324" t="s">
        <v>248</v>
      </c>
      <c r="C1091" s="325"/>
      <c r="D1091" s="619"/>
      <c r="E1091" s="620"/>
      <c r="F1091" s="326">
        <v>45443</v>
      </c>
      <c r="G1091" s="327" t="s">
        <v>505</v>
      </c>
    </row>
    <row r="1092" spans="1:7" ht="28.8" x14ac:dyDescent="0.3">
      <c r="A1092" s="300" t="s">
        <v>506</v>
      </c>
      <c r="B1092" s="174" t="s">
        <v>234</v>
      </c>
      <c r="C1092" s="69"/>
      <c r="D1092" s="621"/>
      <c r="E1092" s="622"/>
      <c r="F1092" s="70"/>
      <c r="G1092" s="295" t="s">
        <v>540</v>
      </c>
    </row>
    <row r="1093" spans="1:7" x14ac:dyDescent="0.3">
      <c r="A1093" s="175" t="s">
        <v>228</v>
      </c>
      <c r="B1093" s="174" t="e">
        <f>#REF!</f>
        <v>#REF!</v>
      </c>
      <c r="C1093" s="69"/>
      <c r="D1093" s="197" t="s">
        <v>429</v>
      </c>
      <c r="E1093" s="198"/>
      <c r="F1093" s="70"/>
      <c r="G1093" s="192" t="s">
        <v>42</v>
      </c>
    </row>
    <row r="1094" spans="1:7" x14ac:dyDescent="0.3">
      <c r="A1094" s="1" t="s">
        <v>508</v>
      </c>
      <c r="B1094" t="s">
        <v>509</v>
      </c>
      <c r="C1094" s="6"/>
      <c r="D1094" s="614" t="s">
        <v>571</v>
      </c>
      <c r="E1094" s="615"/>
      <c r="F1094" s="46"/>
      <c r="G1094" s="322" t="s">
        <v>548</v>
      </c>
    </row>
    <row r="1095" spans="1:7" x14ac:dyDescent="0.3">
      <c r="A1095" s="186" t="s">
        <v>323</v>
      </c>
      <c r="B1095" s="81" t="s">
        <v>250</v>
      </c>
      <c r="C1095" s="22"/>
      <c r="D1095" s="612" t="s">
        <v>61</v>
      </c>
      <c r="E1095" s="613"/>
      <c r="F1095" s="46"/>
      <c r="G1095" s="317"/>
    </row>
    <row r="1096" spans="1:7" x14ac:dyDescent="0.3">
      <c r="A1096" s="1" t="s">
        <v>335</v>
      </c>
      <c r="B1096" t="s">
        <v>337</v>
      </c>
      <c r="C1096" s="6"/>
      <c r="D1096" s="612" t="s">
        <v>61</v>
      </c>
      <c r="E1096" s="613"/>
      <c r="F1096" s="6"/>
      <c r="G1096" s="317"/>
    </row>
    <row r="1097" spans="1:7" x14ac:dyDescent="0.3">
      <c r="A1097" s="186" t="s">
        <v>476</v>
      </c>
      <c r="B1097" t="s">
        <v>249</v>
      </c>
      <c r="C1097" s="6"/>
      <c r="D1097" s="612" t="s">
        <v>511</v>
      </c>
      <c r="E1097" s="613"/>
      <c r="F1097" s="46"/>
      <c r="G1097" s="317"/>
    </row>
    <row r="1098" spans="1:7" x14ac:dyDescent="0.3">
      <c r="A1098" s="1" t="s">
        <v>242</v>
      </c>
      <c r="B1098" t="s">
        <v>324</v>
      </c>
      <c r="C1098" s="6"/>
      <c r="D1098" s="612" t="s">
        <v>512</v>
      </c>
      <c r="E1098" s="613"/>
      <c r="F1098" s="6"/>
      <c r="G1098" s="317" t="s">
        <v>572</v>
      </c>
    </row>
    <row r="1099" spans="1:7" x14ac:dyDescent="0.3">
      <c r="A1099" s="13" t="s">
        <v>320</v>
      </c>
      <c r="B1099" s="169" t="s">
        <v>338</v>
      </c>
      <c r="C1099" s="193"/>
      <c r="D1099" s="612" t="s">
        <v>61</v>
      </c>
      <c r="E1099" s="613"/>
      <c r="F1099" s="191"/>
      <c r="G1099" s="292"/>
    </row>
    <row r="1100" spans="1:7" x14ac:dyDescent="0.3">
      <c r="A1100" s="175" t="s">
        <v>243</v>
      </c>
      <c r="B1100" s="174" t="s">
        <v>251</v>
      </c>
      <c r="C1100" s="194" t="s">
        <v>388</v>
      </c>
      <c r="D1100" s="614" t="s">
        <v>541</v>
      </c>
      <c r="E1100" s="615"/>
      <c r="F1100" s="70">
        <v>45533</v>
      </c>
      <c r="G1100" s="223"/>
    </row>
    <row r="1101" spans="1:7" ht="28.8" x14ac:dyDescent="0.3">
      <c r="A1101" s="318" t="s">
        <v>332</v>
      </c>
      <c r="B1101" s="301" t="s">
        <v>350</v>
      </c>
      <c r="C1101" s="297" t="s">
        <v>525</v>
      </c>
      <c r="D1101" s="616" t="s">
        <v>550</v>
      </c>
      <c r="E1101" s="617"/>
      <c r="F1101" s="298"/>
      <c r="G1101" s="319" t="s">
        <v>552</v>
      </c>
    </row>
    <row r="1102" spans="1:7" ht="28.8" x14ac:dyDescent="0.3">
      <c r="A1102" s="286" t="s">
        <v>348</v>
      </c>
      <c r="B1102" s="69" t="e">
        <v>#REF!</v>
      </c>
      <c r="C1102" s="194"/>
      <c r="D1102" s="618"/>
      <c r="E1102" s="618"/>
      <c r="F1102" s="70"/>
      <c r="G1102" s="328" t="s">
        <v>515</v>
      </c>
    </row>
    <row r="1103" spans="1:7" ht="28.8" x14ac:dyDescent="0.3">
      <c r="A1103" s="285" t="s">
        <v>478</v>
      </c>
      <c r="B1103" s="296" t="s">
        <v>417</v>
      </c>
      <c r="C1103" s="297"/>
      <c r="D1103" s="609" t="s">
        <v>262</v>
      </c>
      <c r="E1103" s="609"/>
      <c r="F1103" s="298"/>
      <c r="G1103" s="339" t="s">
        <v>551</v>
      </c>
    </row>
    <row r="1104" spans="1:7" ht="28.8" x14ac:dyDescent="0.3">
      <c r="A1104" s="285" t="s">
        <v>491</v>
      </c>
      <c r="B1104" s="296" t="s">
        <v>516</v>
      </c>
      <c r="C1104" s="297"/>
      <c r="D1104" s="609" t="s">
        <v>517</v>
      </c>
      <c r="E1104" s="609"/>
      <c r="F1104" s="298"/>
      <c r="G1104" s="330" t="s">
        <v>553</v>
      </c>
    </row>
    <row r="1105" spans="1:7" ht="43.2" x14ac:dyDescent="0.3">
      <c r="A1105" s="285" t="s">
        <v>518</v>
      </c>
      <c r="B1105" s="125" t="s">
        <v>519</v>
      </c>
      <c r="C1105" s="297"/>
      <c r="D1105" s="609" t="s">
        <v>520</v>
      </c>
      <c r="E1105" s="609"/>
      <c r="F1105" s="320">
        <v>45531</v>
      </c>
      <c r="G1105" s="330" t="s">
        <v>554</v>
      </c>
    </row>
    <row r="1106" spans="1:7" ht="28.8" x14ac:dyDescent="0.3">
      <c r="A1106" s="285" t="s">
        <v>521</v>
      </c>
      <c r="B1106" s="69" t="s">
        <v>522</v>
      </c>
      <c r="C1106" s="297"/>
      <c r="D1106" s="609" t="s">
        <v>555</v>
      </c>
      <c r="E1106" s="609"/>
      <c r="F1106" s="320">
        <v>45531</v>
      </c>
      <c r="G1106" s="330" t="s">
        <v>554</v>
      </c>
    </row>
    <row r="1107" spans="1:7" x14ac:dyDescent="0.3">
      <c r="A1107" s="285" t="s">
        <v>523</v>
      </c>
      <c r="B1107" s="69" t="s">
        <v>524</v>
      </c>
      <c r="C1107" s="297" t="s">
        <v>525</v>
      </c>
      <c r="D1107" s="609" t="s">
        <v>526</v>
      </c>
      <c r="E1107" s="609"/>
      <c r="F1107" s="320">
        <v>45532</v>
      </c>
      <c r="G1107" s="331" t="s">
        <v>556</v>
      </c>
    </row>
    <row r="1108" spans="1:7" x14ac:dyDescent="0.3">
      <c r="A1108" s="285" t="s">
        <v>542</v>
      </c>
      <c r="B1108" s="69" t="s">
        <v>543</v>
      </c>
      <c r="C1108" s="297"/>
      <c r="D1108" s="587" t="s">
        <v>544</v>
      </c>
      <c r="E1108" s="587"/>
      <c r="F1108" s="298"/>
      <c r="G1108" s="299"/>
    </row>
    <row r="1109" spans="1:7" x14ac:dyDescent="0.3">
      <c r="A1109" s="285" t="s">
        <v>545</v>
      </c>
      <c r="B1109" s="69"/>
      <c r="C1109" s="297" t="s">
        <v>546</v>
      </c>
      <c r="D1109" s="587" t="s">
        <v>547</v>
      </c>
      <c r="E1109" s="587"/>
      <c r="F1109" s="298">
        <v>45534</v>
      </c>
      <c r="G1109" s="299" t="s">
        <v>593</v>
      </c>
    </row>
    <row r="1110" spans="1:7" ht="15" thickBot="1" x14ac:dyDescent="0.35">
      <c r="A1110" s="332" t="s">
        <v>592</v>
      </c>
      <c r="B1110" s="333"/>
      <c r="C1110" s="334"/>
      <c r="D1110" s="335"/>
      <c r="E1110" s="336"/>
      <c r="F1110" s="337"/>
      <c r="G1110" s="207"/>
    </row>
    <row r="1111" spans="1:7" x14ac:dyDescent="0.3">
      <c r="A1111" s="65" t="s">
        <v>238</v>
      </c>
      <c r="B1111" s="164"/>
      <c r="C1111" s="321" t="s">
        <v>211</v>
      </c>
      <c r="D1111" s="66"/>
      <c r="E1111" s="66"/>
      <c r="F1111" s="67"/>
      <c r="G1111" s="68"/>
    </row>
    <row r="1112" spans="1:7" x14ac:dyDescent="0.3">
      <c r="A1112" s="1" t="s">
        <v>242</v>
      </c>
      <c r="B1112" t="s">
        <v>324</v>
      </c>
      <c r="C1112" s="194"/>
      <c r="D1112" s="282"/>
      <c r="E1112" s="69"/>
      <c r="F1112" s="70"/>
      <c r="G1112" s="101" t="s">
        <v>583</v>
      </c>
    </row>
    <row r="1113" spans="1:7" x14ac:dyDescent="0.3">
      <c r="A1113" s="288" t="s">
        <v>527</v>
      </c>
      <c r="B1113" s="174" t="s">
        <v>524</v>
      </c>
      <c r="C1113" s="194"/>
      <c r="D1113" s="197"/>
      <c r="E1113" s="198"/>
      <c r="F1113" s="70"/>
      <c r="G1113" s="101" t="s">
        <v>582</v>
      </c>
    </row>
    <row r="1114" spans="1:7" x14ac:dyDescent="0.3">
      <c r="A1114" s="290" t="s">
        <v>428</v>
      </c>
      <c r="B1114" s="125"/>
      <c r="C1114" s="194"/>
      <c r="D1114" s="283"/>
      <c r="E1114" s="283"/>
      <c r="F1114" s="69"/>
      <c r="G1114" s="101" t="s">
        <v>582</v>
      </c>
    </row>
    <row r="1115" spans="1:7" x14ac:dyDescent="0.3">
      <c r="A1115" s="290" t="s">
        <v>581</v>
      </c>
      <c r="B1115" s="125"/>
      <c r="C1115" s="194"/>
      <c r="D1115" s="283"/>
      <c r="E1115" s="283"/>
      <c r="F1115" s="69"/>
      <c r="G1115" s="101" t="s">
        <v>582</v>
      </c>
    </row>
    <row r="1116" spans="1:7" ht="28.8" x14ac:dyDescent="0.3">
      <c r="A1116" s="318" t="s">
        <v>332</v>
      </c>
      <c r="B1116" s="301" t="s">
        <v>350</v>
      </c>
      <c r="C1116" s="297" t="s">
        <v>525</v>
      </c>
      <c r="D1116" s="592" t="s">
        <v>550</v>
      </c>
      <c r="E1116" s="593"/>
      <c r="F1116" s="412" t="s">
        <v>207</v>
      </c>
      <c r="G1116" s="413" t="s">
        <v>552</v>
      </c>
    </row>
    <row r="1117" spans="1:7" ht="28.8" x14ac:dyDescent="0.3">
      <c r="A1117" s="318" t="s">
        <v>244</v>
      </c>
      <c r="B1117" s="301"/>
      <c r="C1117" s="297"/>
      <c r="D1117" s="410"/>
      <c r="E1117" s="411"/>
      <c r="F1117" s="412"/>
      <c r="G1117" s="319" t="s">
        <v>596</v>
      </c>
    </row>
    <row r="1118" spans="1:7" x14ac:dyDescent="0.3">
      <c r="A1118" s="285" t="s">
        <v>246</v>
      </c>
      <c r="B1118" s="137"/>
      <c r="C1118" s="194"/>
      <c r="D1118" s="282"/>
      <c r="E1118" s="69"/>
      <c r="F1118" s="70">
        <v>45531</v>
      </c>
      <c r="G1118" s="291" t="s">
        <v>42</v>
      </c>
    </row>
    <row r="1119" spans="1:7" x14ac:dyDescent="0.3">
      <c r="A1119" s="47"/>
      <c r="B1119" s="163"/>
      <c r="C1119" s="22"/>
      <c r="D1119" s="48"/>
      <c r="F1119" s="6"/>
      <c r="G1119" s="2"/>
    </row>
    <row r="1120" spans="1:7" ht="15" thickBot="1" x14ac:dyDescent="0.35">
      <c r="A1120" s="188"/>
      <c r="B1120" s="189"/>
      <c r="C1120" s="23"/>
      <c r="D1120" s="190"/>
      <c r="E1120" s="4"/>
      <c r="F1120" s="7"/>
      <c r="G1120" s="5"/>
    </row>
    <row r="1121" spans="1:7" x14ac:dyDescent="0.3">
      <c r="A1121" s="60" t="s">
        <v>236</v>
      </c>
      <c r="B1121" s="162"/>
      <c r="C1121" s="61" t="s">
        <v>239</v>
      </c>
      <c r="D1121" s="62"/>
      <c r="E1121" s="62"/>
      <c r="F1121" s="63"/>
      <c r="G1121" s="64"/>
    </row>
    <row r="1122" spans="1:7" ht="57.6" x14ac:dyDescent="0.3">
      <c r="A1122" s="304" t="s">
        <v>502</v>
      </c>
      <c r="B1122" s="305"/>
      <c r="C1122" s="306"/>
      <c r="D1122" s="157" t="s">
        <v>573</v>
      </c>
      <c r="E1122" s="307" t="s">
        <v>503</v>
      </c>
      <c r="F1122" s="308"/>
      <c r="G1122" s="340" t="s">
        <v>586</v>
      </c>
    </row>
    <row r="1123" spans="1:7" ht="28.8" x14ac:dyDescent="0.3">
      <c r="A1123" s="267" t="s">
        <v>270</v>
      </c>
      <c r="B1123" s="141"/>
      <c r="C1123" s="263"/>
      <c r="D1123" s="264"/>
      <c r="E1123" s="303" t="s">
        <v>532</v>
      </c>
      <c r="F1123" s="265"/>
      <c r="G1123" s="322" t="s">
        <v>587</v>
      </c>
    </row>
    <row r="1124" spans="1:7" ht="57.6" x14ac:dyDescent="0.3">
      <c r="A1124" s="267" t="s">
        <v>534</v>
      </c>
      <c r="B1124" s="141"/>
      <c r="C1124" s="263"/>
      <c r="D1124" s="263" t="s">
        <v>281</v>
      </c>
      <c r="E1124" s="265" t="s">
        <v>282</v>
      </c>
      <c r="F1124" s="265"/>
      <c r="G1124" s="268" t="s">
        <v>585</v>
      </c>
    </row>
    <row r="1125" spans="1:7" ht="57" customHeight="1" x14ac:dyDescent="0.3">
      <c r="A1125" s="267" t="s">
        <v>424</v>
      </c>
      <c r="B1125" s="141"/>
      <c r="C1125" s="610" t="s">
        <v>473</v>
      </c>
      <c r="D1125" s="611"/>
      <c r="E1125" s="265" t="s">
        <v>440</v>
      </c>
      <c r="F1125" s="265"/>
      <c r="G1125" s="322" t="s">
        <v>588</v>
      </c>
    </row>
    <row r="1126" spans="1:7" ht="29.4" customHeight="1" x14ac:dyDescent="0.3">
      <c r="A1126" s="384" t="s">
        <v>589</v>
      </c>
      <c r="B1126" s="141"/>
      <c r="C1126" s="376"/>
      <c r="D1126" s="377"/>
      <c r="E1126" s="265"/>
      <c r="F1126" s="265"/>
      <c r="G1126" s="385" t="s">
        <v>590</v>
      </c>
    </row>
    <row r="1127" spans="1:7" ht="28.8" x14ac:dyDescent="0.3">
      <c r="A1127" s="341" t="s">
        <v>576</v>
      </c>
      <c r="B1127" s="141"/>
      <c r="C1127" s="342"/>
      <c r="D1127" s="342"/>
      <c r="E1127" s="265"/>
      <c r="F1127" s="265"/>
      <c r="G1127" s="303" t="s">
        <v>591</v>
      </c>
    </row>
    <row r="1128" spans="1:7" x14ac:dyDescent="0.3">
      <c r="A1128" s="341" t="s">
        <v>578</v>
      </c>
      <c r="B1128" s="141"/>
      <c r="C1128" s="342"/>
      <c r="D1128" s="342"/>
      <c r="E1128" s="265"/>
      <c r="F1128" s="265"/>
      <c r="G1128" s="303" t="s">
        <v>579</v>
      </c>
    </row>
    <row r="1129" spans="1:7" x14ac:dyDescent="0.3">
      <c r="A1129" s="378"/>
      <c r="B1129" s="379"/>
      <c r="C1129" s="380"/>
      <c r="D1129" s="381"/>
      <c r="E1129" s="382"/>
      <c r="F1129" s="382"/>
      <c r="G1129" s="383"/>
    </row>
    <row r="1130" spans="1:7" x14ac:dyDescent="0.3">
      <c r="A1130" s="606" t="s">
        <v>452</v>
      </c>
      <c r="B1130" s="602"/>
      <c r="C1130" s="228"/>
      <c r="D1130" s="229" t="s">
        <v>450</v>
      </c>
      <c r="E1130" s="238"/>
      <c r="F1130" s="239"/>
      <c r="G1130" s="280" t="s">
        <v>454</v>
      </c>
    </row>
    <row r="1131" spans="1:7" x14ac:dyDescent="0.3">
      <c r="A1131" s="606" t="s">
        <v>451</v>
      </c>
      <c r="B1131" s="602"/>
      <c r="C1131" s="228"/>
      <c r="D1131" s="229" t="s">
        <v>450</v>
      </c>
      <c r="E1131" s="238"/>
      <c r="F1131" s="239"/>
      <c r="G1131" s="280" t="s">
        <v>454</v>
      </c>
    </row>
    <row r="1132" spans="1:7" x14ac:dyDescent="0.3">
      <c r="A1132" s="606" t="s">
        <v>453</v>
      </c>
      <c r="B1132" s="602"/>
      <c r="C1132" s="228"/>
      <c r="D1132" s="229" t="s">
        <v>450</v>
      </c>
      <c r="E1132" s="238"/>
      <c r="F1132" s="239"/>
      <c r="G1132" s="280" t="s">
        <v>454</v>
      </c>
    </row>
    <row r="1133" spans="1:7" x14ac:dyDescent="0.3">
      <c r="A1133" s="241"/>
      <c r="B1133" s="240"/>
      <c r="C1133" s="228"/>
      <c r="D1133" s="229"/>
      <c r="E1133" s="238"/>
      <c r="F1133" s="239"/>
      <c r="G1133" s="232"/>
    </row>
    <row r="1134" spans="1:7" x14ac:dyDescent="0.3">
      <c r="A1134" s="606" t="s">
        <v>455</v>
      </c>
      <c r="B1134" s="602"/>
      <c r="C1134" s="228"/>
      <c r="D1134" s="275" t="s">
        <v>457</v>
      </c>
      <c r="E1134" s="240"/>
      <c r="F1134" s="239"/>
      <c r="G1134" s="281" t="s">
        <v>456</v>
      </c>
    </row>
    <row r="1135" spans="1:7" x14ac:dyDescent="0.3">
      <c r="A1135" s="606" t="s">
        <v>458</v>
      </c>
      <c r="B1135" s="602"/>
      <c r="C1135" s="228"/>
      <c r="D1135" s="275" t="s">
        <v>450</v>
      </c>
      <c r="E1135" s="240"/>
      <c r="F1135" s="239"/>
      <c r="G1135" s="281" t="s">
        <v>456</v>
      </c>
    </row>
    <row r="1136" spans="1:7" x14ac:dyDescent="0.3">
      <c r="A1136" s="606" t="s">
        <v>459</v>
      </c>
      <c r="B1136" s="602"/>
      <c r="C1136" s="228"/>
      <c r="D1136" s="275" t="s">
        <v>450</v>
      </c>
      <c r="E1136" s="240"/>
      <c r="F1136" s="239"/>
      <c r="G1136" s="281" t="s">
        <v>456</v>
      </c>
    </row>
    <row r="1137" spans="1:7" x14ac:dyDescent="0.3">
      <c r="A1137" s="606" t="s">
        <v>460</v>
      </c>
      <c r="B1137" s="602"/>
      <c r="C1137" s="228"/>
      <c r="D1137" s="275" t="s">
        <v>450</v>
      </c>
      <c r="E1137" s="240"/>
      <c r="F1137" s="239"/>
      <c r="G1137" s="281" t="s">
        <v>456</v>
      </c>
    </row>
    <row r="1138" spans="1:7" x14ac:dyDescent="0.3">
      <c r="A1138" s="606" t="s">
        <v>461</v>
      </c>
      <c r="B1138" s="602"/>
      <c r="C1138" s="228"/>
      <c r="D1138" s="275" t="s">
        <v>457</v>
      </c>
      <c r="E1138" s="240"/>
      <c r="F1138" s="239"/>
      <c r="G1138" s="281" t="s">
        <v>456</v>
      </c>
    </row>
    <row r="1139" spans="1:7" x14ac:dyDescent="0.3">
      <c r="A1139" s="606" t="s">
        <v>462</v>
      </c>
      <c r="B1139" s="602"/>
      <c r="C1139" s="228"/>
      <c r="D1139" s="275" t="s">
        <v>450</v>
      </c>
      <c r="E1139" s="240"/>
      <c r="F1139" s="239"/>
      <c r="G1139" s="281" t="s">
        <v>456</v>
      </c>
    </row>
    <row r="1140" spans="1:7" x14ac:dyDescent="0.3">
      <c r="A1140" s="606" t="s">
        <v>463</v>
      </c>
      <c r="B1140" s="602"/>
      <c r="C1140" s="228"/>
      <c r="D1140" s="275" t="s">
        <v>450</v>
      </c>
      <c r="E1140" s="240"/>
      <c r="F1140" s="239"/>
      <c r="G1140" s="281" t="s">
        <v>456</v>
      </c>
    </row>
    <row r="1141" spans="1:7" x14ac:dyDescent="0.3">
      <c r="A1141" s="606" t="s">
        <v>464</v>
      </c>
      <c r="B1141" s="602"/>
      <c r="C1141" s="228"/>
      <c r="D1141" s="275" t="s">
        <v>450</v>
      </c>
      <c r="E1141" s="240"/>
      <c r="F1141" s="239"/>
      <c r="G1141" s="281" t="s">
        <v>456</v>
      </c>
    </row>
    <row r="1142" spans="1:7" x14ac:dyDescent="0.3">
      <c r="A1142" s="241"/>
      <c r="B1142" s="240"/>
      <c r="C1142" s="228"/>
      <c r="D1142" s="275"/>
      <c r="E1142" s="278" t="s">
        <v>469</v>
      </c>
      <c r="F1142" s="239"/>
      <c r="G1142" s="232"/>
    </row>
    <row r="1143" spans="1:7" x14ac:dyDescent="0.3">
      <c r="A1143" s="606" t="s">
        <v>465</v>
      </c>
      <c r="B1143" s="602"/>
      <c r="C1143" s="228"/>
      <c r="D1143" s="275" t="s">
        <v>457</v>
      </c>
      <c r="E1143" s="235"/>
      <c r="F1143" s="239"/>
      <c r="G1143" s="281" t="s">
        <v>468</v>
      </c>
    </row>
    <row r="1144" spans="1:7" x14ac:dyDescent="0.3">
      <c r="A1144" s="606" t="s">
        <v>466</v>
      </c>
      <c r="B1144" s="602"/>
      <c r="C1144" s="228"/>
      <c r="D1144" s="275" t="s">
        <v>457</v>
      </c>
      <c r="E1144" s="235"/>
      <c r="F1144" s="239"/>
      <c r="G1144" s="281" t="s">
        <v>468</v>
      </c>
    </row>
    <row r="1145" spans="1:7" x14ac:dyDescent="0.3">
      <c r="A1145" s="606" t="s">
        <v>467</v>
      </c>
      <c r="B1145" s="602"/>
      <c r="C1145" s="228"/>
      <c r="D1145" s="275" t="s">
        <v>450</v>
      </c>
      <c r="E1145" s="235"/>
      <c r="F1145" s="239"/>
      <c r="G1145" s="281" t="s">
        <v>468</v>
      </c>
    </row>
    <row r="1146" spans="1:7" x14ac:dyDescent="0.3">
      <c r="A1146" s="241"/>
      <c r="B1146" s="235"/>
      <c r="C1146" s="228"/>
      <c r="D1146" s="229"/>
      <c r="E1146" s="279" t="s">
        <v>470</v>
      </c>
      <c r="F1146" s="239"/>
      <c r="G1146" s="232"/>
    </row>
    <row r="1147" spans="1:7" x14ac:dyDescent="0.3">
      <c r="A1147" s="606" t="s">
        <v>558</v>
      </c>
      <c r="B1147" s="602"/>
      <c r="C1147" s="228"/>
      <c r="D1147" s="229"/>
      <c r="E1147" s="235"/>
      <c r="F1147" s="239"/>
      <c r="G1147" s="232"/>
    </row>
    <row r="1148" spans="1:7" x14ac:dyDescent="0.3">
      <c r="A1148" s="606" t="s">
        <v>559</v>
      </c>
      <c r="B1148" s="602"/>
      <c r="C1148" s="228"/>
      <c r="D1148" s="229"/>
      <c r="E1148" s="235"/>
      <c r="F1148" s="239"/>
      <c r="G1148" s="232"/>
    </row>
    <row r="1149" spans="1:7" x14ac:dyDescent="0.3">
      <c r="A1149" s="606" t="s">
        <v>560</v>
      </c>
      <c r="B1149" s="602"/>
      <c r="C1149" s="228"/>
      <c r="D1149" s="229"/>
      <c r="E1149" s="235"/>
      <c r="F1149" s="239"/>
      <c r="G1149" s="232"/>
    </row>
    <row r="1150" spans="1:7" x14ac:dyDescent="0.3">
      <c r="A1150" s="602" t="s">
        <v>561</v>
      </c>
      <c r="B1150" s="602"/>
      <c r="C1150" s="228"/>
      <c r="D1150" s="229"/>
      <c r="E1150" s="235"/>
      <c r="F1150" s="239"/>
      <c r="G1150" s="232"/>
    </row>
    <row r="1151" spans="1:7" x14ac:dyDescent="0.3">
      <c r="A1151" s="607" t="s">
        <v>562</v>
      </c>
      <c r="B1151" s="608"/>
      <c r="C1151" s="228"/>
      <c r="D1151" s="229"/>
      <c r="E1151" s="235"/>
      <c r="F1151" s="239"/>
      <c r="G1151" s="232"/>
    </row>
    <row r="1152" spans="1:7" x14ac:dyDescent="0.3">
      <c r="A1152" s="602" t="s">
        <v>563</v>
      </c>
      <c r="B1152" s="602"/>
      <c r="C1152" s="228"/>
      <c r="D1152" s="229"/>
      <c r="E1152" s="235"/>
      <c r="F1152" s="239"/>
      <c r="G1152" s="232"/>
    </row>
    <row r="1153" spans="1:7" x14ac:dyDescent="0.3">
      <c r="A1153" s="602" t="s">
        <v>564</v>
      </c>
      <c r="B1153" s="602"/>
      <c r="C1153" s="228"/>
      <c r="D1153" s="229"/>
      <c r="E1153" s="235"/>
      <c r="F1153" s="239"/>
      <c r="G1153" s="232"/>
    </row>
    <row r="1154" spans="1:7" x14ac:dyDescent="0.3">
      <c r="A1154" s="602" t="s">
        <v>565</v>
      </c>
      <c r="B1154" s="602"/>
      <c r="C1154" s="228"/>
      <c r="D1154" s="229"/>
      <c r="E1154" s="235"/>
      <c r="F1154" s="239"/>
      <c r="G1154" s="232"/>
    </row>
    <row r="1155" spans="1:7" x14ac:dyDescent="0.3">
      <c r="A1155" s="602" t="s">
        <v>566</v>
      </c>
      <c r="B1155" s="602"/>
      <c r="C1155" s="228"/>
      <c r="D1155" s="229"/>
      <c r="E1155" s="235"/>
      <c r="F1155" s="239"/>
      <c r="G1155" s="232"/>
    </row>
    <row r="1156" spans="1:7" x14ac:dyDescent="0.3">
      <c r="A1156" s="602" t="s">
        <v>567</v>
      </c>
      <c r="B1156" s="602"/>
      <c r="C1156" s="228"/>
      <c r="D1156" s="229"/>
      <c r="E1156" s="235"/>
      <c r="F1156" s="239"/>
      <c r="G1156" s="232"/>
    </row>
    <row r="1157" spans="1:7" x14ac:dyDescent="0.3">
      <c r="A1157" t="s">
        <v>568</v>
      </c>
      <c r="B1157" s="8"/>
      <c r="C1157" s="228"/>
      <c r="D1157" s="229"/>
      <c r="E1157" s="235"/>
      <c r="F1157" s="239"/>
      <c r="G1157" s="232"/>
    </row>
    <row r="1158" spans="1:7" x14ac:dyDescent="0.3">
      <c r="A1158" s="603" t="s">
        <v>569</v>
      </c>
      <c r="B1158" s="603"/>
      <c r="C1158" s="228"/>
      <c r="D1158" s="229"/>
      <c r="E1158" s="235"/>
      <c r="F1158" s="239"/>
      <c r="G1158" s="232"/>
    </row>
    <row r="1159" spans="1:7" x14ac:dyDescent="0.3">
      <c r="B1159" s="8"/>
      <c r="C1159" s="228"/>
      <c r="D1159" s="229"/>
      <c r="E1159" s="235"/>
      <c r="F1159" s="239"/>
      <c r="G1159" s="232"/>
    </row>
    <row r="1160" spans="1:7" x14ac:dyDescent="0.3">
      <c r="B1160" s="8"/>
      <c r="C1160" s="228"/>
      <c r="D1160" s="229"/>
      <c r="E1160" s="235"/>
      <c r="F1160" s="239"/>
      <c r="G1160" s="232"/>
    </row>
    <row r="1161" spans="1:7" x14ac:dyDescent="0.3">
      <c r="A1161" s="248" t="s">
        <v>9</v>
      </c>
      <c r="B1161" s="249"/>
      <c r="C1161" s="266" t="s">
        <v>212</v>
      </c>
      <c r="D1161" s="250"/>
      <c r="E1161" s="250"/>
      <c r="F1161" s="251"/>
      <c r="G1161" s="252"/>
    </row>
    <row r="1162" spans="1:7" x14ac:dyDescent="0.3">
      <c r="A1162" s="226" t="s">
        <v>308</v>
      </c>
      <c r="B1162" s="235"/>
      <c r="C1162" s="228"/>
      <c r="D1162" s="229"/>
      <c r="E1162" s="230"/>
      <c r="F1162" s="231"/>
      <c r="G1162" s="232" t="s">
        <v>42</v>
      </c>
    </row>
    <row r="1163" spans="1:7" x14ac:dyDescent="0.3">
      <c r="A1163" s="237"/>
      <c r="B1163" s="230"/>
      <c r="C1163" s="228"/>
      <c r="D1163" s="230"/>
      <c r="E1163" s="230"/>
      <c r="F1163" s="231"/>
      <c r="G1163" s="232"/>
    </row>
    <row r="1164" spans="1:7" x14ac:dyDescent="0.3">
      <c r="A1164" s="604" t="s">
        <v>472</v>
      </c>
      <c r="B1164" s="605"/>
      <c r="C1164" s="228"/>
      <c r="D1164" s="230"/>
      <c r="E1164" s="230"/>
      <c r="F1164" s="231"/>
      <c r="G1164" s="232"/>
    </row>
    <row r="1165" spans="1:7" x14ac:dyDescent="0.3">
      <c r="A1165" s="237"/>
      <c r="B1165" s="230"/>
      <c r="C1165" s="228"/>
      <c r="D1165" s="230"/>
      <c r="E1165" s="230"/>
      <c r="F1165" s="231"/>
      <c r="G1165" s="232"/>
    </row>
    <row r="1166" spans="1:7" ht="15" thickBot="1" x14ac:dyDescent="0.35">
      <c r="A1166" s="253"/>
      <c r="B1166" s="254"/>
      <c r="C1166" s="255"/>
      <c r="D1166" s="254"/>
      <c r="E1166" s="254"/>
      <c r="F1166" s="256"/>
      <c r="G1166" s="257"/>
    </row>
    <row r="1169" spans="1:7" ht="28.8" x14ac:dyDescent="0.3">
      <c r="A1169" s="596" t="s">
        <v>557</v>
      </c>
      <c r="B1169" s="596"/>
      <c r="C1169" s="596"/>
      <c r="D1169" s="596"/>
      <c r="E1169" s="596"/>
      <c r="F1169" s="596"/>
      <c r="G1169" s="596"/>
    </row>
    <row r="1170" spans="1:7" ht="28.8" x14ac:dyDescent="0.3">
      <c r="A1170" s="150"/>
      <c r="B1170" s="150"/>
      <c r="C1170" s="150"/>
      <c r="D1170" s="150"/>
      <c r="E1170" s="150"/>
      <c r="F1170" s="150"/>
      <c r="G1170" s="150"/>
    </row>
    <row r="1171" spans="1:7" ht="21.6" thickBot="1" x14ac:dyDescent="0.45">
      <c r="A1171" s="597" t="s">
        <v>594</v>
      </c>
      <c r="B1171" s="597"/>
      <c r="C1171" s="597"/>
      <c r="D1171" s="597"/>
      <c r="E1171" s="597"/>
      <c r="F1171" s="597"/>
      <c r="G1171" s="597"/>
    </row>
    <row r="1172" spans="1:7" ht="18.600000000000001" thickBot="1" x14ac:dyDescent="0.35">
      <c r="A1172" s="20" t="s">
        <v>235</v>
      </c>
      <c r="B1172" s="284" t="s">
        <v>34</v>
      </c>
      <c r="C1172" s="21" t="s">
        <v>1</v>
      </c>
      <c r="D1172" s="598" t="s">
        <v>4</v>
      </c>
      <c r="E1172" s="599"/>
      <c r="F1172" s="21" t="s">
        <v>2</v>
      </c>
      <c r="G1172" s="19" t="s">
        <v>3</v>
      </c>
    </row>
    <row r="1173" spans="1:7" ht="15" thickBot="1" x14ac:dyDescent="0.35">
      <c r="A1173" s="219" t="s">
        <v>237</v>
      </c>
      <c r="B1173" s="164"/>
      <c r="C1173" s="61" t="s">
        <v>208</v>
      </c>
      <c r="D1173" s="62"/>
      <c r="E1173" s="62"/>
      <c r="F1173" s="63"/>
      <c r="G1173" s="64"/>
    </row>
    <row r="1174" spans="1:7" ht="28.8" x14ac:dyDescent="0.3">
      <c r="A1174" s="386" t="s">
        <v>247</v>
      </c>
      <c r="B1174" s="387" t="s">
        <v>248</v>
      </c>
      <c r="C1174" s="388"/>
      <c r="D1174" s="600"/>
      <c r="E1174" s="601"/>
      <c r="F1174" s="389">
        <v>45443</v>
      </c>
      <c r="G1174" s="390" t="s">
        <v>505</v>
      </c>
    </row>
    <row r="1175" spans="1:7" ht="28.8" x14ac:dyDescent="0.3">
      <c r="A1175" s="391" t="s">
        <v>506</v>
      </c>
      <c r="B1175" s="392" t="s">
        <v>234</v>
      </c>
      <c r="C1175" s="264"/>
      <c r="D1175" s="590"/>
      <c r="E1175" s="591"/>
      <c r="F1175" s="393"/>
      <c r="G1175" s="394" t="s">
        <v>540</v>
      </c>
    </row>
    <row r="1176" spans="1:7" x14ac:dyDescent="0.3">
      <c r="A1176" s="395" t="s">
        <v>228</v>
      </c>
      <c r="B1176" s="392" t="e">
        <f>#REF!</f>
        <v>#REF!</v>
      </c>
      <c r="C1176" s="264"/>
      <c r="D1176" s="396" t="s">
        <v>429</v>
      </c>
      <c r="E1176" s="397"/>
      <c r="F1176" s="393"/>
      <c r="G1176" s="398" t="s">
        <v>42</v>
      </c>
    </row>
    <row r="1177" spans="1:7" x14ac:dyDescent="0.3">
      <c r="A1177" s="237" t="s">
        <v>508</v>
      </c>
      <c r="B1177" s="230" t="s">
        <v>509</v>
      </c>
      <c r="C1177" s="231"/>
      <c r="D1177" s="590" t="s">
        <v>571</v>
      </c>
      <c r="E1177" s="591"/>
      <c r="F1177" s="247"/>
      <c r="G1177" s="268" t="s">
        <v>548</v>
      </c>
    </row>
    <row r="1178" spans="1:7" x14ac:dyDescent="0.3">
      <c r="A1178" s="234" t="s">
        <v>323</v>
      </c>
      <c r="B1178" s="399" t="s">
        <v>250</v>
      </c>
      <c r="C1178" s="228"/>
      <c r="D1178" s="588" t="s">
        <v>61</v>
      </c>
      <c r="E1178" s="589"/>
      <c r="F1178" s="247"/>
      <c r="G1178" s="400"/>
    </row>
    <row r="1179" spans="1:7" x14ac:dyDescent="0.3">
      <c r="A1179" s="237" t="s">
        <v>335</v>
      </c>
      <c r="B1179" s="230" t="s">
        <v>337</v>
      </c>
      <c r="C1179" s="231"/>
      <c r="D1179" s="588" t="s">
        <v>61</v>
      </c>
      <c r="E1179" s="589"/>
      <c r="F1179" s="231"/>
      <c r="G1179" s="400"/>
    </row>
    <row r="1180" spans="1:7" x14ac:dyDescent="0.3">
      <c r="A1180" s="234" t="s">
        <v>476</v>
      </c>
      <c r="B1180" s="230" t="s">
        <v>249</v>
      </c>
      <c r="C1180" s="231"/>
      <c r="D1180" s="588" t="s">
        <v>511</v>
      </c>
      <c r="E1180" s="589"/>
      <c r="F1180" s="247"/>
      <c r="G1180" s="400"/>
    </row>
    <row r="1181" spans="1:7" x14ac:dyDescent="0.3">
      <c r="A1181" s="237" t="s">
        <v>242</v>
      </c>
      <c r="B1181" s="230" t="s">
        <v>324</v>
      </c>
      <c r="C1181" s="231"/>
      <c r="D1181" s="588" t="s">
        <v>512</v>
      </c>
      <c r="E1181" s="589"/>
      <c r="F1181" s="231"/>
      <c r="G1181" s="400" t="s">
        <v>572</v>
      </c>
    </row>
    <row r="1182" spans="1:7" x14ac:dyDescent="0.3">
      <c r="A1182" s="401" t="s">
        <v>320</v>
      </c>
      <c r="B1182" s="402" t="s">
        <v>338</v>
      </c>
      <c r="C1182" s="403"/>
      <c r="D1182" s="588" t="s">
        <v>61</v>
      </c>
      <c r="E1182" s="589"/>
      <c r="F1182" s="404"/>
      <c r="G1182" s="405"/>
    </row>
    <row r="1183" spans="1:7" x14ac:dyDescent="0.3">
      <c r="A1183" s="395" t="s">
        <v>243</v>
      </c>
      <c r="B1183" s="392" t="s">
        <v>251</v>
      </c>
      <c r="C1183" s="263" t="s">
        <v>388</v>
      </c>
      <c r="D1183" s="590" t="s">
        <v>541</v>
      </c>
      <c r="E1183" s="591"/>
      <c r="F1183" s="393">
        <v>45533</v>
      </c>
      <c r="G1183" s="406"/>
    </row>
    <row r="1184" spans="1:7" ht="28.8" x14ac:dyDescent="0.3">
      <c r="A1184" s="407" t="s">
        <v>332</v>
      </c>
      <c r="B1184" s="408" t="s">
        <v>350</v>
      </c>
      <c r="C1184" s="409" t="s">
        <v>525</v>
      </c>
      <c r="D1184" s="592" t="s">
        <v>550</v>
      </c>
      <c r="E1184" s="593"/>
      <c r="F1184" s="412"/>
      <c r="G1184" s="413" t="s">
        <v>552</v>
      </c>
    </row>
    <row r="1185" spans="1:7" ht="28.8" x14ac:dyDescent="0.3">
      <c r="A1185" s="414" t="s">
        <v>348</v>
      </c>
      <c r="B1185" s="264" t="e">
        <v>#REF!</v>
      </c>
      <c r="C1185" s="263"/>
      <c r="D1185" s="594"/>
      <c r="E1185" s="594"/>
      <c r="F1185" s="393"/>
      <c r="G1185" s="415" t="s">
        <v>515</v>
      </c>
    </row>
    <row r="1186" spans="1:7" ht="28.8" x14ac:dyDescent="0.3">
      <c r="A1186" s="416" t="s">
        <v>478</v>
      </c>
      <c r="B1186" s="417" t="s">
        <v>417</v>
      </c>
      <c r="C1186" s="409"/>
      <c r="D1186" s="595" t="s">
        <v>262</v>
      </c>
      <c r="E1186" s="595"/>
      <c r="F1186" s="412"/>
      <c r="G1186" s="418" t="s">
        <v>551</v>
      </c>
    </row>
    <row r="1187" spans="1:7" ht="28.8" x14ac:dyDescent="0.3">
      <c r="A1187" s="416" t="s">
        <v>491</v>
      </c>
      <c r="B1187" s="417" t="s">
        <v>516</v>
      </c>
      <c r="C1187" s="409"/>
      <c r="D1187" s="595" t="s">
        <v>517</v>
      </c>
      <c r="E1187" s="595"/>
      <c r="F1187" s="412"/>
      <c r="G1187" s="418" t="s">
        <v>553</v>
      </c>
    </row>
    <row r="1188" spans="1:7" ht="43.2" x14ac:dyDescent="0.3">
      <c r="A1188" s="416" t="s">
        <v>518</v>
      </c>
      <c r="B1188" s="265" t="s">
        <v>519</v>
      </c>
      <c r="C1188" s="409"/>
      <c r="D1188" s="595" t="s">
        <v>520</v>
      </c>
      <c r="E1188" s="595"/>
      <c r="F1188" s="412">
        <v>45531</v>
      </c>
      <c r="G1188" s="418" t="s">
        <v>554</v>
      </c>
    </row>
    <row r="1189" spans="1:7" ht="28.8" x14ac:dyDescent="0.3">
      <c r="A1189" s="416" t="s">
        <v>521</v>
      </c>
      <c r="B1189" s="264" t="s">
        <v>522</v>
      </c>
      <c r="C1189" s="409"/>
      <c r="D1189" s="595" t="s">
        <v>555</v>
      </c>
      <c r="E1189" s="595"/>
      <c r="F1189" s="412">
        <v>45531</v>
      </c>
      <c r="G1189" s="418" t="s">
        <v>554</v>
      </c>
    </row>
    <row r="1190" spans="1:7" x14ac:dyDescent="0.3">
      <c r="A1190" s="416" t="s">
        <v>523</v>
      </c>
      <c r="B1190" s="264" t="s">
        <v>524</v>
      </c>
      <c r="C1190" s="409" t="s">
        <v>525</v>
      </c>
      <c r="D1190" s="595" t="s">
        <v>526</v>
      </c>
      <c r="E1190" s="595"/>
      <c r="F1190" s="412">
        <v>45532</v>
      </c>
      <c r="G1190" s="419" t="s">
        <v>556</v>
      </c>
    </row>
    <row r="1191" spans="1:7" x14ac:dyDescent="0.3">
      <c r="A1191" s="416" t="s">
        <v>542</v>
      </c>
      <c r="B1191" s="264" t="s">
        <v>543</v>
      </c>
      <c r="C1191" s="409"/>
      <c r="D1191" s="586" t="s">
        <v>544</v>
      </c>
      <c r="E1191" s="586"/>
      <c r="F1191" s="412"/>
      <c r="G1191" s="419"/>
    </row>
    <row r="1192" spans="1:7" ht="43.2" x14ac:dyDescent="0.3">
      <c r="A1192" s="285" t="s">
        <v>545</v>
      </c>
      <c r="B1192" s="69"/>
      <c r="C1192" s="297" t="s">
        <v>546</v>
      </c>
      <c r="D1192" s="587" t="s">
        <v>547</v>
      </c>
      <c r="E1192" s="587"/>
      <c r="F1192" s="298">
        <v>45534</v>
      </c>
      <c r="G1192" s="330" t="s">
        <v>595</v>
      </c>
    </row>
    <row r="1193" spans="1:7" ht="15" thickBot="1" x14ac:dyDescent="0.35">
      <c r="A1193" s="332" t="s">
        <v>592</v>
      </c>
      <c r="B1193" s="333"/>
      <c r="C1193" s="334"/>
      <c r="D1193" s="335"/>
      <c r="E1193" s="336"/>
      <c r="F1193" s="337"/>
      <c r="G1193" s="207"/>
    </row>
    <row r="1194" spans="1:7" x14ac:dyDescent="0.3">
      <c r="A1194" s="65" t="s">
        <v>238</v>
      </c>
      <c r="B1194" s="164"/>
      <c r="C1194" s="321" t="s">
        <v>211</v>
      </c>
      <c r="D1194" s="66"/>
      <c r="E1194" s="66"/>
      <c r="F1194" s="67"/>
      <c r="G1194" s="68"/>
    </row>
    <row r="1195" spans="1:7" x14ac:dyDescent="0.3">
      <c r="A1195" s="1" t="s">
        <v>242</v>
      </c>
      <c r="B1195" t="s">
        <v>324</v>
      </c>
      <c r="C1195" s="194"/>
      <c r="D1195" s="282"/>
      <c r="E1195" s="69"/>
      <c r="F1195" s="70"/>
      <c r="G1195" s="101" t="s">
        <v>583</v>
      </c>
    </row>
    <row r="1196" spans="1:7" x14ac:dyDescent="0.3">
      <c r="A1196" s="288" t="s">
        <v>527</v>
      </c>
      <c r="B1196" s="174" t="s">
        <v>524</v>
      </c>
      <c r="C1196" s="194"/>
      <c r="D1196" s="197"/>
      <c r="E1196" s="198"/>
      <c r="F1196" s="70"/>
      <c r="G1196" s="101" t="s">
        <v>582</v>
      </c>
    </row>
    <row r="1197" spans="1:7" x14ac:dyDescent="0.3">
      <c r="A1197" s="290" t="s">
        <v>428</v>
      </c>
      <c r="B1197" s="125"/>
      <c r="C1197" s="194"/>
      <c r="D1197" s="283"/>
      <c r="E1197" s="283"/>
      <c r="F1197" s="69"/>
      <c r="G1197" s="101" t="s">
        <v>582</v>
      </c>
    </row>
    <row r="1198" spans="1:7" x14ac:dyDescent="0.3">
      <c r="A1198" s="290" t="s">
        <v>581</v>
      </c>
      <c r="B1198" s="125"/>
      <c r="C1198" s="194"/>
      <c r="D1198" s="283"/>
      <c r="E1198" s="283"/>
      <c r="F1198" s="69"/>
      <c r="G1198" s="101" t="s">
        <v>582</v>
      </c>
    </row>
    <row r="1199" spans="1:7" ht="28.8" x14ac:dyDescent="0.3">
      <c r="A1199" s="318" t="s">
        <v>332</v>
      </c>
      <c r="B1199" s="301" t="s">
        <v>350</v>
      </c>
      <c r="C1199" s="297" t="s">
        <v>525</v>
      </c>
      <c r="D1199" s="616" t="s">
        <v>550</v>
      </c>
      <c r="E1199" s="617"/>
      <c r="F1199" s="298" t="s">
        <v>207</v>
      </c>
      <c r="G1199" s="319" t="s">
        <v>552</v>
      </c>
    </row>
    <row r="1200" spans="1:7" x14ac:dyDescent="0.3">
      <c r="A1200" s="318" t="s">
        <v>244</v>
      </c>
      <c r="B1200" s="301"/>
      <c r="C1200" s="297"/>
      <c r="D1200" s="410"/>
      <c r="E1200" s="411"/>
      <c r="F1200" s="412"/>
      <c r="G1200" s="319" t="s">
        <v>597</v>
      </c>
    </row>
    <row r="1201" spans="1:7" ht="28.8" x14ac:dyDescent="0.3">
      <c r="A1201" s="416" t="s">
        <v>521</v>
      </c>
      <c r="B1201" s="264" t="s">
        <v>522</v>
      </c>
      <c r="C1201" s="409"/>
      <c r="D1201" s="660" t="s">
        <v>598</v>
      </c>
      <c r="E1201" s="660"/>
      <c r="F1201" s="412"/>
      <c r="G1201" s="418"/>
    </row>
    <row r="1202" spans="1:7" x14ac:dyDescent="0.3">
      <c r="A1202" s="285" t="s">
        <v>246</v>
      </c>
      <c r="B1202" s="137"/>
      <c r="C1202" s="194"/>
      <c r="D1202" s="282"/>
      <c r="E1202" s="69"/>
      <c r="F1202" s="70">
        <v>45531</v>
      </c>
      <c r="G1202" s="291" t="s">
        <v>42</v>
      </c>
    </row>
    <row r="1203" spans="1:7" x14ac:dyDescent="0.3">
      <c r="A1203" s="47"/>
      <c r="B1203" s="163"/>
      <c r="C1203" s="22"/>
      <c r="D1203" s="48"/>
      <c r="F1203" s="6"/>
      <c r="G1203" s="2"/>
    </row>
    <row r="1204" spans="1:7" ht="15" thickBot="1" x14ac:dyDescent="0.35">
      <c r="A1204" s="188"/>
      <c r="B1204" s="189"/>
      <c r="C1204" s="23"/>
      <c r="D1204" s="190"/>
      <c r="E1204" s="4"/>
      <c r="F1204" s="7"/>
      <c r="G1204" s="5"/>
    </row>
    <row r="1205" spans="1:7" x14ac:dyDescent="0.3">
      <c r="A1205" s="60" t="s">
        <v>236</v>
      </c>
      <c r="B1205" s="162"/>
      <c r="C1205" s="61" t="s">
        <v>239</v>
      </c>
      <c r="D1205" s="62"/>
      <c r="E1205" s="62"/>
      <c r="F1205" s="63"/>
      <c r="G1205" s="64"/>
    </row>
    <row r="1206" spans="1:7" ht="57.6" x14ac:dyDescent="0.3">
      <c r="A1206" s="420" t="s">
        <v>502</v>
      </c>
      <c r="B1206" s="421"/>
      <c r="C1206" s="422"/>
      <c r="D1206" s="423" t="s">
        <v>573</v>
      </c>
      <c r="E1206" s="424" t="s">
        <v>503</v>
      </c>
      <c r="F1206" s="308"/>
      <c r="G1206" s="340" t="s">
        <v>586</v>
      </c>
    </row>
    <row r="1207" spans="1:7" ht="28.8" x14ac:dyDescent="0.3">
      <c r="A1207" s="267" t="s">
        <v>270</v>
      </c>
      <c r="B1207" s="141"/>
      <c r="C1207" s="263"/>
      <c r="D1207" s="264"/>
      <c r="E1207" s="303" t="s">
        <v>532</v>
      </c>
      <c r="F1207" s="265"/>
      <c r="G1207" s="322" t="s">
        <v>587</v>
      </c>
    </row>
    <row r="1208" spans="1:7" ht="57.6" x14ac:dyDescent="0.3">
      <c r="A1208" s="267" t="s">
        <v>534</v>
      </c>
      <c r="B1208" s="141"/>
      <c r="C1208" s="263"/>
      <c r="D1208" s="263" t="s">
        <v>281</v>
      </c>
      <c r="E1208" s="265" t="s">
        <v>282</v>
      </c>
      <c r="F1208" s="265"/>
      <c r="G1208" s="268" t="s">
        <v>585</v>
      </c>
    </row>
    <row r="1209" spans="1:7" ht="28.8" x14ac:dyDescent="0.3">
      <c r="A1209" s="267" t="s">
        <v>424</v>
      </c>
      <c r="B1209" s="141"/>
      <c r="C1209" s="610" t="s">
        <v>473</v>
      </c>
      <c r="D1209" s="611"/>
      <c r="E1209" s="265" t="s">
        <v>440</v>
      </c>
      <c r="F1209" s="265"/>
      <c r="G1209" s="322" t="s">
        <v>588</v>
      </c>
    </row>
    <row r="1210" spans="1:7" ht="28.8" x14ac:dyDescent="0.3">
      <c r="A1210" s="384" t="s">
        <v>589</v>
      </c>
      <c r="B1210" s="141"/>
      <c r="C1210" s="376"/>
      <c r="D1210" s="377"/>
      <c r="E1210" s="265"/>
      <c r="F1210" s="265"/>
      <c r="G1210" s="385" t="s">
        <v>590</v>
      </c>
    </row>
    <row r="1211" spans="1:7" ht="28.8" x14ac:dyDescent="0.3">
      <c r="A1211" s="341" t="s">
        <v>576</v>
      </c>
      <c r="B1211" s="141"/>
      <c r="C1211" s="342"/>
      <c r="D1211" s="342"/>
      <c r="E1211" s="265"/>
      <c r="F1211" s="265"/>
      <c r="G1211" s="303" t="s">
        <v>591</v>
      </c>
    </row>
    <row r="1212" spans="1:7" x14ac:dyDescent="0.3">
      <c r="A1212" s="341" t="s">
        <v>578</v>
      </c>
      <c r="B1212" s="141"/>
      <c r="C1212" s="342"/>
      <c r="D1212" s="342"/>
      <c r="E1212" s="265"/>
      <c r="F1212" s="265"/>
      <c r="G1212" s="303" t="s">
        <v>579</v>
      </c>
    </row>
    <row r="1213" spans="1:7" x14ac:dyDescent="0.3">
      <c r="A1213" s="378"/>
      <c r="B1213" s="379"/>
      <c r="C1213" s="380"/>
      <c r="D1213" s="381"/>
      <c r="E1213" s="382"/>
      <c r="F1213" s="382"/>
      <c r="G1213" s="383"/>
    </row>
    <row r="1214" spans="1:7" x14ac:dyDescent="0.3">
      <c r="A1214" s="606" t="s">
        <v>452</v>
      </c>
      <c r="B1214" s="602"/>
      <c r="C1214" s="228"/>
      <c r="D1214" s="229" t="s">
        <v>450</v>
      </c>
      <c r="E1214" s="238"/>
      <c r="F1214" s="239"/>
      <c r="G1214" s="280" t="s">
        <v>454</v>
      </c>
    </row>
    <row r="1215" spans="1:7" x14ac:dyDescent="0.3">
      <c r="A1215" s="606" t="s">
        <v>451</v>
      </c>
      <c r="B1215" s="602"/>
      <c r="C1215" s="228"/>
      <c r="D1215" s="229" t="s">
        <v>450</v>
      </c>
      <c r="E1215" s="238"/>
      <c r="F1215" s="239"/>
      <c r="G1215" s="280" t="s">
        <v>454</v>
      </c>
    </row>
    <row r="1216" spans="1:7" x14ac:dyDescent="0.3">
      <c r="A1216" s="606" t="s">
        <v>453</v>
      </c>
      <c r="B1216" s="602"/>
      <c r="C1216" s="228"/>
      <c r="D1216" s="229" t="s">
        <v>450</v>
      </c>
      <c r="E1216" s="238"/>
      <c r="F1216" s="239"/>
      <c r="G1216" s="280" t="s">
        <v>454</v>
      </c>
    </row>
    <row r="1217" spans="1:7" x14ac:dyDescent="0.3">
      <c r="A1217" s="241"/>
      <c r="B1217" s="240"/>
      <c r="C1217" s="228"/>
      <c r="D1217" s="229"/>
      <c r="E1217" s="238"/>
      <c r="F1217" s="239"/>
      <c r="G1217" s="232"/>
    </row>
    <row r="1218" spans="1:7" x14ac:dyDescent="0.3">
      <c r="A1218" s="606" t="s">
        <v>455</v>
      </c>
      <c r="B1218" s="602"/>
      <c r="C1218" s="228"/>
      <c r="D1218" s="275" t="s">
        <v>457</v>
      </c>
      <c r="E1218" s="240"/>
      <c r="F1218" s="239"/>
      <c r="G1218" s="281" t="s">
        <v>456</v>
      </c>
    </row>
    <row r="1219" spans="1:7" x14ac:dyDescent="0.3">
      <c r="A1219" s="606" t="s">
        <v>458</v>
      </c>
      <c r="B1219" s="602"/>
      <c r="C1219" s="228"/>
      <c r="D1219" s="275" t="s">
        <v>450</v>
      </c>
      <c r="E1219" s="240"/>
      <c r="F1219" s="239"/>
      <c r="G1219" s="281" t="s">
        <v>456</v>
      </c>
    </row>
    <row r="1220" spans="1:7" x14ac:dyDescent="0.3">
      <c r="A1220" s="606" t="s">
        <v>459</v>
      </c>
      <c r="B1220" s="602"/>
      <c r="C1220" s="228"/>
      <c r="D1220" s="275" t="s">
        <v>450</v>
      </c>
      <c r="E1220" s="240"/>
      <c r="F1220" s="239"/>
      <c r="G1220" s="281" t="s">
        <v>456</v>
      </c>
    </row>
    <row r="1221" spans="1:7" x14ac:dyDescent="0.3">
      <c r="A1221" s="606" t="s">
        <v>460</v>
      </c>
      <c r="B1221" s="602"/>
      <c r="C1221" s="228"/>
      <c r="D1221" s="275" t="s">
        <v>450</v>
      </c>
      <c r="E1221" s="240"/>
      <c r="F1221" s="239"/>
      <c r="G1221" s="281" t="s">
        <v>456</v>
      </c>
    </row>
    <row r="1222" spans="1:7" x14ac:dyDescent="0.3">
      <c r="A1222" s="606" t="s">
        <v>461</v>
      </c>
      <c r="B1222" s="602"/>
      <c r="C1222" s="228"/>
      <c r="D1222" s="275" t="s">
        <v>457</v>
      </c>
      <c r="E1222" s="240"/>
      <c r="F1222" s="239"/>
      <c r="G1222" s="281" t="s">
        <v>456</v>
      </c>
    </row>
    <row r="1223" spans="1:7" x14ac:dyDescent="0.3">
      <c r="A1223" s="606" t="s">
        <v>462</v>
      </c>
      <c r="B1223" s="602"/>
      <c r="C1223" s="228"/>
      <c r="D1223" s="275" t="s">
        <v>450</v>
      </c>
      <c r="E1223" s="240"/>
      <c r="F1223" s="239"/>
      <c r="G1223" s="281" t="s">
        <v>456</v>
      </c>
    </row>
    <row r="1224" spans="1:7" x14ac:dyDescent="0.3">
      <c r="A1224" s="606" t="s">
        <v>463</v>
      </c>
      <c r="B1224" s="602"/>
      <c r="C1224" s="228"/>
      <c r="D1224" s="275" t="s">
        <v>450</v>
      </c>
      <c r="E1224" s="240"/>
      <c r="F1224" s="239"/>
      <c r="G1224" s="281" t="s">
        <v>456</v>
      </c>
    </row>
    <row r="1225" spans="1:7" x14ac:dyDescent="0.3">
      <c r="A1225" s="606" t="s">
        <v>464</v>
      </c>
      <c r="B1225" s="602"/>
      <c r="C1225" s="228"/>
      <c r="D1225" s="275" t="s">
        <v>450</v>
      </c>
      <c r="E1225" s="240"/>
      <c r="F1225" s="239"/>
      <c r="G1225" s="281" t="s">
        <v>456</v>
      </c>
    </row>
    <row r="1226" spans="1:7" x14ac:dyDescent="0.3">
      <c r="A1226" s="241"/>
      <c r="B1226" s="240"/>
      <c r="C1226" s="228"/>
      <c r="D1226" s="275"/>
      <c r="E1226" s="278" t="s">
        <v>469</v>
      </c>
      <c r="F1226" s="239"/>
      <c r="G1226" s="232"/>
    </row>
    <row r="1227" spans="1:7" x14ac:dyDescent="0.3">
      <c r="A1227" s="606" t="s">
        <v>465</v>
      </c>
      <c r="B1227" s="602"/>
      <c r="C1227" s="228"/>
      <c r="D1227" s="275" t="s">
        <v>457</v>
      </c>
      <c r="E1227" s="235"/>
      <c r="F1227" s="239"/>
      <c r="G1227" s="281" t="s">
        <v>468</v>
      </c>
    </row>
    <row r="1228" spans="1:7" x14ac:dyDescent="0.3">
      <c r="A1228" s="606" t="s">
        <v>466</v>
      </c>
      <c r="B1228" s="602"/>
      <c r="C1228" s="228"/>
      <c r="D1228" s="275" t="s">
        <v>457</v>
      </c>
      <c r="E1228" s="235"/>
      <c r="F1228" s="239"/>
      <c r="G1228" s="281" t="s">
        <v>468</v>
      </c>
    </row>
    <row r="1229" spans="1:7" x14ac:dyDescent="0.3">
      <c r="A1229" s="606" t="s">
        <v>467</v>
      </c>
      <c r="B1229" s="602"/>
      <c r="C1229" s="228"/>
      <c r="D1229" s="275" t="s">
        <v>450</v>
      </c>
      <c r="E1229" s="235"/>
      <c r="F1229" s="239"/>
      <c r="G1229" s="281" t="s">
        <v>468</v>
      </c>
    </row>
    <row r="1230" spans="1:7" x14ac:dyDescent="0.3">
      <c r="A1230" s="241"/>
      <c r="B1230" s="235"/>
      <c r="C1230" s="228"/>
      <c r="D1230" s="229"/>
      <c r="E1230" s="279" t="s">
        <v>470</v>
      </c>
      <c r="F1230" s="239"/>
      <c r="G1230" s="232"/>
    </row>
    <row r="1231" spans="1:7" x14ac:dyDescent="0.3">
      <c r="A1231" s="606" t="s">
        <v>558</v>
      </c>
      <c r="B1231" s="602"/>
      <c r="C1231" s="228"/>
      <c r="D1231" s="229"/>
      <c r="E1231" s="235"/>
      <c r="F1231" s="239"/>
      <c r="G1231" s="232"/>
    </row>
    <row r="1232" spans="1:7" x14ac:dyDescent="0.3">
      <c r="A1232" s="606" t="s">
        <v>559</v>
      </c>
      <c r="B1232" s="602"/>
      <c r="C1232" s="228"/>
      <c r="D1232" s="229"/>
      <c r="E1232" s="235"/>
      <c r="F1232" s="239"/>
      <c r="G1232" s="232"/>
    </row>
    <row r="1233" spans="1:7" x14ac:dyDescent="0.3">
      <c r="A1233" s="606" t="s">
        <v>560</v>
      </c>
      <c r="B1233" s="602"/>
      <c r="C1233" s="228"/>
      <c r="D1233" s="229"/>
      <c r="E1233" s="235"/>
      <c r="F1233" s="239"/>
      <c r="G1233" s="232"/>
    </row>
    <row r="1234" spans="1:7" x14ac:dyDescent="0.3">
      <c r="A1234" s="602" t="s">
        <v>561</v>
      </c>
      <c r="B1234" s="602"/>
      <c r="C1234" s="228"/>
      <c r="D1234" s="229"/>
      <c r="E1234" s="235"/>
      <c r="F1234" s="239"/>
      <c r="G1234" s="232"/>
    </row>
    <row r="1235" spans="1:7" x14ac:dyDescent="0.3">
      <c r="A1235" s="607" t="s">
        <v>562</v>
      </c>
      <c r="B1235" s="608"/>
      <c r="C1235" s="228"/>
      <c r="D1235" s="229"/>
      <c r="E1235" s="235"/>
      <c r="F1235" s="239"/>
      <c r="G1235" s="232"/>
    </row>
    <row r="1236" spans="1:7" x14ac:dyDescent="0.3">
      <c r="A1236" s="602" t="s">
        <v>563</v>
      </c>
      <c r="B1236" s="602"/>
      <c r="C1236" s="228"/>
      <c r="D1236" s="229"/>
      <c r="E1236" s="235"/>
      <c r="F1236" s="239"/>
      <c r="G1236" s="232"/>
    </row>
    <row r="1237" spans="1:7" x14ac:dyDescent="0.3">
      <c r="A1237" s="602" t="s">
        <v>564</v>
      </c>
      <c r="B1237" s="602"/>
      <c r="C1237" s="228"/>
      <c r="D1237" s="229"/>
      <c r="E1237" s="235"/>
      <c r="F1237" s="239"/>
      <c r="G1237" s="232"/>
    </row>
    <row r="1238" spans="1:7" x14ac:dyDescent="0.3">
      <c r="A1238" s="602" t="s">
        <v>565</v>
      </c>
      <c r="B1238" s="602"/>
      <c r="C1238" s="228"/>
      <c r="D1238" s="229"/>
      <c r="E1238" s="235"/>
      <c r="F1238" s="239"/>
      <c r="G1238" s="232"/>
    </row>
    <row r="1239" spans="1:7" x14ac:dyDescent="0.3">
      <c r="A1239" s="602" t="s">
        <v>566</v>
      </c>
      <c r="B1239" s="602"/>
      <c r="C1239" s="228"/>
      <c r="D1239" s="229"/>
      <c r="E1239" s="235"/>
      <c r="F1239" s="239"/>
      <c r="G1239" s="232"/>
    </row>
    <row r="1240" spans="1:7" x14ac:dyDescent="0.3">
      <c r="A1240" s="602" t="s">
        <v>567</v>
      </c>
      <c r="B1240" s="602"/>
      <c r="C1240" s="228"/>
      <c r="D1240" s="229"/>
      <c r="E1240" s="235"/>
      <c r="F1240" s="239"/>
      <c r="G1240" s="232"/>
    </row>
    <row r="1241" spans="1:7" x14ac:dyDescent="0.3">
      <c r="A1241" t="s">
        <v>568</v>
      </c>
      <c r="B1241" s="8"/>
      <c r="C1241" s="228"/>
      <c r="D1241" s="229"/>
      <c r="E1241" s="235"/>
      <c r="F1241" s="239"/>
      <c r="G1241" s="232"/>
    </row>
    <row r="1242" spans="1:7" x14ac:dyDescent="0.3">
      <c r="A1242" s="603" t="s">
        <v>569</v>
      </c>
      <c r="B1242" s="603"/>
      <c r="C1242" s="228"/>
      <c r="D1242" s="229"/>
      <c r="E1242" s="235"/>
      <c r="F1242" s="239"/>
      <c r="G1242" s="232"/>
    </row>
    <row r="1243" spans="1:7" x14ac:dyDescent="0.3">
      <c r="B1243" s="8"/>
      <c r="C1243" s="228"/>
      <c r="D1243" s="229"/>
      <c r="E1243" s="235"/>
      <c r="F1243" s="239"/>
      <c r="G1243" s="232"/>
    </row>
    <row r="1244" spans="1:7" x14ac:dyDescent="0.3">
      <c r="B1244" s="8"/>
      <c r="C1244" s="228"/>
      <c r="D1244" s="229"/>
      <c r="E1244" s="235"/>
      <c r="F1244" s="239"/>
      <c r="G1244" s="232"/>
    </row>
    <row r="1245" spans="1:7" x14ac:dyDescent="0.3">
      <c r="A1245" s="248" t="s">
        <v>9</v>
      </c>
      <c r="B1245" s="249"/>
      <c r="C1245" s="266" t="s">
        <v>212</v>
      </c>
      <c r="D1245" s="250"/>
      <c r="E1245" s="250"/>
      <c r="F1245" s="251"/>
      <c r="G1245" s="252"/>
    </row>
    <row r="1246" spans="1:7" x14ac:dyDescent="0.3">
      <c r="A1246" s="226" t="s">
        <v>308</v>
      </c>
      <c r="B1246" s="235"/>
      <c r="C1246" s="228"/>
      <c r="D1246" s="229"/>
      <c r="E1246" s="230"/>
      <c r="F1246" s="231"/>
      <c r="G1246" s="232" t="s">
        <v>42</v>
      </c>
    </row>
    <row r="1247" spans="1:7" x14ac:dyDescent="0.3">
      <c r="A1247" s="237"/>
      <c r="B1247" s="230"/>
      <c r="C1247" s="228"/>
      <c r="D1247" s="230"/>
      <c r="E1247" s="230"/>
      <c r="F1247" s="231"/>
      <c r="G1247" s="232"/>
    </row>
    <row r="1248" spans="1:7" x14ac:dyDescent="0.3">
      <c r="A1248" s="604" t="s">
        <v>472</v>
      </c>
      <c r="B1248" s="605"/>
      <c r="C1248" s="228"/>
      <c r="D1248" s="230"/>
      <c r="E1248" s="230"/>
      <c r="F1248" s="231"/>
      <c r="G1248" s="232"/>
    </row>
    <row r="1249" spans="1:7" x14ac:dyDescent="0.3">
      <c r="A1249" s="237"/>
      <c r="B1249" s="230"/>
      <c r="C1249" s="228"/>
      <c r="D1249" s="230"/>
      <c r="E1249" s="230"/>
      <c r="F1249" s="231"/>
      <c r="G1249" s="232"/>
    </row>
    <row r="1250" spans="1:7" ht="15" thickBot="1" x14ac:dyDescent="0.35">
      <c r="A1250" s="253"/>
      <c r="B1250" s="254"/>
      <c r="C1250" s="255"/>
      <c r="D1250" s="254"/>
      <c r="E1250" s="254"/>
      <c r="F1250" s="256"/>
      <c r="G1250" s="257"/>
    </row>
    <row r="1252" spans="1:7" ht="28.8" x14ac:dyDescent="0.3">
      <c r="A1252" s="596" t="s">
        <v>557</v>
      </c>
      <c r="B1252" s="596"/>
      <c r="C1252" s="596"/>
      <c r="D1252" s="596"/>
      <c r="E1252" s="596"/>
      <c r="F1252" s="596"/>
      <c r="G1252" s="596"/>
    </row>
    <row r="1253" spans="1:7" ht="28.8" x14ac:dyDescent="0.3">
      <c r="A1253" s="150"/>
      <c r="B1253" s="150"/>
      <c r="C1253" s="150"/>
      <c r="D1253" s="150"/>
      <c r="E1253" s="150"/>
      <c r="F1253" s="150"/>
      <c r="G1253" s="150"/>
    </row>
    <row r="1254" spans="1:7" ht="21.6" thickBot="1" x14ac:dyDescent="0.45">
      <c r="A1254" s="597" t="s">
        <v>599</v>
      </c>
      <c r="B1254" s="642"/>
      <c r="C1254" s="642"/>
      <c r="D1254" s="642"/>
      <c r="E1254" s="642"/>
      <c r="F1254" s="642"/>
      <c r="G1254" s="642"/>
    </row>
    <row r="1255" spans="1:7" ht="18.600000000000001" thickBot="1" x14ac:dyDescent="0.35">
      <c r="A1255" s="360" t="s">
        <v>235</v>
      </c>
      <c r="B1255" s="361" t="s">
        <v>34</v>
      </c>
      <c r="C1255" s="361" t="s">
        <v>1</v>
      </c>
      <c r="D1255" s="623" t="s">
        <v>4</v>
      </c>
      <c r="E1255" s="624"/>
      <c r="F1255" s="361" t="s">
        <v>2</v>
      </c>
      <c r="G1255" s="362" t="s">
        <v>3</v>
      </c>
    </row>
    <row r="1256" spans="1:7" ht="15" thickBot="1" x14ac:dyDescent="0.35">
      <c r="A1256" s="219" t="s">
        <v>237</v>
      </c>
      <c r="B1256" s="162"/>
      <c r="C1256" s="61" t="s">
        <v>208</v>
      </c>
      <c r="D1256" s="62"/>
      <c r="E1256" s="62"/>
      <c r="F1256" s="63"/>
      <c r="G1256" s="64"/>
    </row>
    <row r="1257" spans="1:7" ht="28.8" x14ac:dyDescent="0.3">
      <c r="A1257" s="323" t="s">
        <v>247</v>
      </c>
      <c r="B1257" s="324" t="s">
        <v>248</v>
      </c>
      <c r="C1257" s="325"/>
      <c r="D1257" s="619"/>
      <c r="E1257" s="620"/>
      <c r="F1257" s="326">
        <v>45443</v>
      </c>
      <c r="G1257" s="327" t="s">
        <v>505</v>
      </c>
    </row>
    <row r="1258" spans="1:7" x14ac:dyDescent="0.3">
      <c r="A1258" s="175" t="s">
        <v>228</v>
      </c>
      <c r="B1258" s="174" t="e">
        <f>#REF!</f>
        <v>#REF!</v>
      </c>
      <c r="C1258" s="69"/>
      <c r="D1258" s="197" t="s">
        <v>429</v>
      </c>
      <c r="E1258" s="198"/>
      <c r="F1258" s="70"/>
      <c r="G1258" s="192" t="s">
        <v>42</v>
      </c>
    </row>
    <row r="1259" spans="1:7" x14ac:dyDescent="0.3">
      <c r="A1259" s="1"/>
      <c r="C1259" s="6"/>
      <c r="D1259" s="197"/>
      <c r="E1259" s="198"/>
      <c r="F1259" s="46"/>
      <c r="G1259" s="192"/>
    </row>
    <row r="1260" spans="1:7" ht="14.4" customHeight="1" x14ac:dyDescent="0.3">
      <c r="A1260" s="1" t="s">
        <v>508</v>
      </c>
      <c r="B1260" t="s">
        <v>509</v>
      </c>
      <c r="C1260" s="6"/>
      <c r="D1260" s="614" t="s">
        <v>600</v>
      </c>
      <c r="E1260" s="615"/>
      <c r="F1260" s="46"/>
      <c r="G1260" s="322" t="s">
        <v>601</v>
      </c>
    </row>
    <row r="1261" spans="1:7" x14ac:dyDescent="0.3">
      <c r="A1261" s="186" t="s">
        <v>323</v>
      </c>
      <c r="B1261" s="81" t="s">
        <v>250</v>
      </c>
      <c r="C1261" s="22"/>
      <c r="D1261" s="612" t="s">
        <v>61</v>
      </c>
      <c r="E1261" s="613"/>
      <c r="F1261" s="46"/>
      <c r="G1261" s="317"/>
    </row>
    <row r="1262" spans="1:7" x14ac:dyDescent="0.3">
      <c r="A1262" s="1" t="s">
        <v>335</v>
      </c>
      <c r="B1262" t="s">
        <v>337</v>
      </c>
      <c r="C1262" s="6"/>
      <c r="D1262" s="612" t="s">
        <v>61</v>
      </c>
      <c r="E1262" s="613"/>
      <c r="F1262" s="6"/>
      <c r="G1262" s="317"/>
    </row>
    <row r="1263" spans="1:7" x14ac:dyDescent="0.3">
      <c r="A1263" s="186" t="s">
        <v>476</v>
      </c>
      <c r="B1263" t="s">
        <v>249</v>
      </c>
      <c r="C1263" s="6"/>
      <c r="D1263" s="612" t="s">
        <v>511</v>
      </c>
      <c r="E1263" s="613"/>
      <c r="F1263" s="46"/>
      <c r="G1263" s="317"/>
    </row>
    <row r="1264" spans="1:7" ht="14.4" customHeight="1" x14ac:dyDescent="0.3">
      <c r="A1264" s="1" t="s">
        <v>242</v>
      </c>
      <c r="B1264" t="s">
        <v>324</v>
      </c>
      <c r="C1264" s="6"/>
      <c r="D1264" s="612" t="s">
        <v>512</v>
      </c>
      <c r="E1264" s="613"/>
      <c r="F1264" s="6"/>
      <c r="G1264" s="317" t="s">
        <v>602</v>
      </c>
    </row>
    <row r="1265" spans="1:7" x14ac:dyDescent="0.3">
      <c r="A1265" s="13" t="s">
        <v>320</v>
      </c>
      <c r="B1265" s="169" t="s">
        <v>338</v>
      </c>
      <c r="C1265" s="193"/>
      <c r="D1265" s="612" t="s">
        <v>61</v>
      </c>
      <c r="E1265" s="613"/>
      <c r="F1265" s="191"/>
      <c r="G1265" s="292"/>
    </row>
    <row r="1266" spans="1:7" ht="14.4" customHeight="1" x14ac:dyDescent="0.3">
      <c r="A1266" s="175" t="s">
        <v>243</v>
      </c>
      <c r="B1266" s="174" t="s">
        <v>251</v>
      </c>
      <c r="C1266" s="194"/>
      <c r="D1266" s="614" t="s">
        <v>603</v>
      </c>
      <c r="E1266" s="615"/>
      <c r="F1266" s="70">
        <v>45540</v>
      </c>
      <c r="G1266" s="223"/>
    </row>
    <row r="1267" spans="1:7" ht="28.8" customHeight="1" x14ac:dyDescent="0.3">
      <c r="A1267" s="318" t="s">
        <v>332</v>
      </c>
      <c r="B1267" s="301" t="s">
        <v>350</v>
      </c>
      <c r="C1267" s="297"/>
      <c r="D1267" s="616" t="s">
        <v>604</v>
      </c>
      <c r="E1267" s="617"/>
      <c r="F1267" s="298"/>
      <c r="G1267" s="319" t="s">
        <v>552</v>
      </c>
    </row>
    <row r="1268" spans="1:7" ht="28.8" x14ac:dyDescent="0.3">
      <c r="A1268" s="286" t="s">
        <v>348</v>
      </c>
      <c r="B1268" s="69" t="e">
        <v>#REF!</v>
      </c>
      <c r="C1268" s="194"/>
      <c r="D1268" s="618"/>
      <c r="E1268" s="618"/>
      <c r="F1268" s="70"/>
      <c r="G1268" s="328" t="s">
        <v>515</v>
      </c>
    </row>
    <row r="1269" spans="1:7" ht="28.8" x14ac:dyDescent="0.3">
      <c r="A1269" s="285" t="s">
        <v>478</v>
      </c>
      <c r="B1269" s="296" t="s">
        <v>417</v>
      </c>
      <c r="C1269" s="297"/>
      <c r="D1269" s="609" t="s">
        <v>262</v>
      </c>
      <c r="E1269" s="609"/>
      <c r="F1269" s="298"/>
      <c r="G1269" s="339" t="s">
        <v>551</v>
      </c>
    </row>
    <row r="1270" spans="1:7" ht="28.8" x14ac:dyDescent="0.3">
      <c r="A1270" s="427" t="s">
        <v>491</v>
      </c>
      <c r="B1270" s="125" t="s">
        <v>516</v>
      </c>
      <c r="C1270" s="297"/>
      <c r="D1270" s="609" t="s">
        <v>605</v>
      </c>
      <c r="E1270" s="609"/>
      <c r="F1270" s="298"/>
      <c r="G1270" s="330" t="s">
        <v>553</v>
      </c>
    </row>
    <row r="1271" spans="1:7" ht="43.2" x14ac:dyDescent="0.3">
      <c r="A1271" s="285" t="s">
        <v>518</v>
      </c>
      <c r="B1271" s="125" t="s">
        <v>519</v>
      </c>
      <c r="C1271" s="297"/>
      <c r="D1271" s="609" t="s">
        <v>520</v>
      </c>
      <c r="E1271" s="609"/>
      <c r="F1271" s="320">
        <v>45531</v>
      </c>
      <c r="G1271" s="330" t="s">
        <v>554</v>
      </c>
    </row>
    <row r="1272" spans="1:7" ht="28.8" x14ac:dyDescent="0.3">
      <c r="A1272" s="285" t="s">
        <v>521</v>
      </c>
      <c r="B1272" s="125" t="s">
        <v>522</v>
      </c>
      <c r="C1272" s="297"/>
      <c r="D1272" s="609" t="s">
        <v>555</v>
      </c>
      <c r="E1272" s="609"/>
      <c r="F1272" s="320">
        <v>45531</v>
      </c>
      <c r="G1272" s="330" t="s">
        <v>554</v>
      </c>
    </row>
    <row r="1273" spans="1:7" ht="14.4" customHeight="1" x14ac:dyDescent="0.3">
      <c r="A1273" s="285" t="s">
        <v>523</v>
      </c>
      <c r="B1273" s="69" t="s">
        <v>524</v>
      </c>
      <c r="C1273" s="297"/>
      <c r="D1273" s="609" t="s">
        <v>606</v>
      </c>
      <c r="E1273" s="609"/>
      <c r="F1273" s="412">
        <v>45538</v>
      </c>
      <c r="G1273" s="331" t="s">
        <v>556</v>
      </c>
    </row>
    <row r="1274" spans="1:7" ht="14.4" customHeight="1" x14ac:dyDescent="0.3">
      <c r="A1274" s="285" t="s">
        <v>542</v>
      </c>
      <c r="B1274" s="69" t="s">
        <v>543</v>
      </c>
      <c r="C1274" s="297"/>
      <c r="D1274" s="609" t="s">
        <v>544</v>
      </c>
      <c r="E1274" s="609"/>
      <c r="F1274" s="298"/>
      <c r="G1274" s="299"/>
    </row>
    <row r="1275" spans="1:7" ht="14.4" customHeight="1" x14ac:dyDescent="0.3">
      <c r="A1275" s="285" t="s">
        <v>545</v>
      </c>
      <c r="B1275" s="69"/>
      <c r="C1275" s="297" t="s">
        <v>546</v>
      </c>
      <c r="D1275" s="609" t="s">
        <v>547</v>
      </c>
      <c r="E1275" s="609"/>
      <c r="F1275" s="298">
        <v>45534</v>
      </c>
      <c r="G1275" s="299"/>
    </row>
    <row r="1276" spans="1:7" ht="15" thickBot="1" x14ac:dyDescent="0.35">
      <c r="A1276" s="332"/>
      <c r="B1276" s="333"/>
      <c r="C1276" s="334"/>
      <c r="D1276" s="335"/>
      <c r="E1276" s="336"/>
      <c r="F1276" s="337"/>
      <c r="G1276" s="207"/>
    </row>
    <row r="1277" spans="1:7" x14ac:dyDescent="0.3">
      <c r="A1277" s="65" t="s">
        <v>238</v>
      </c>
      <c r="B1277" s="164"/>
      <c r="C1277" s="321" t="s">
        <v>211</v>
      </c>
      <c r="D1277" s="66"/>
      <c r="E1277" s="66"/>
      <c r="F1277" s="67"/>
      <c r="G1277" s="68"/>
    </row>
    <row r="1278" spans="1:7" x14ac:dyDescent="0.3">
      <c r="A1278" s="1" t="s">
        <v>242</v>
      </c>
      <c r="B1278" t="s">
        <v>324</v>
      </c>
      <c r="C1278" s="194"/>
      <c r="D1278" s="282"/>
      <c r="E1278" s="69"/>
      <c r="F1278" s="70"/>
      <c r="G1278" s="101" t="s">
        <v>583</v>
      </c>
    </row>
    <row r="1279" spans="1:7" x14ac:dyDescent="0.3">
      <c r="A1279" s="288" t="s">
        <v>527</v>
      </c>
      <c r="B1279" s="174" t="s">
        <v>524</v>
      </c>
      <c r="C1279" s="194"/>
      <c r="D1279" s="197"/>
      <c r="E1279" s="198"/>
      <c r="F1279" s="70"/>
      <c r="G1279" s="101" t="s">
        <v>582</v>
      </c>
    </row>
    <row r="1280" spans="1:7" x14ac:dyDescent="0.3">
      <c r="A1280" s="290" t="s">
        <v>428</v>
      </c>
      <c r="B1280" s="125"/>
      <c r="C1280" s="194"/>
      <c r="D1280" s="283"/>
      <c r="E1280" s="283"/>
      <c r="F1280" s="69"/>
      <c r="G1280" s="101" t="s">
        <v>582</v>
      </c>
    </row>
    <row r="1281" spans="1:8" x14ac:dyDescent="0.3">
      <c r="A1281" s="290" t="s">
        <v>581</v>
      </c>
      <c r="B1281" s="125"/>
      <c r="C1281" s="194"/>
      <c r="D1281" s="283"/>
      <c r="E1281" s="283"/>
      <c r="F1281" s="69"/>
      <c r="G1281" s="101" t="s">
        <v>582</v>
      </c>
    </row>
    <row r="1282" spans="1:8" ht="28.8" x14ac:dyDescent="0.3">
      <c r="A1282" s="318" t="s">
        <v>332</v>
      </c>
      <c r="B1282" s="301" t="s">
        <v>350</v>
      </c>
      <c r="C1282" s="297" t="s">
        <v>525</v>
      </c>
      <c r="D1282" s="616" t="s">
        <v>550</v>
      </c>
      <c r="E1282" s="617"/>
      <c r="F1282" s="298" t="s">
        <v>207</v>
      </c>
      <c r="G1282" s="319" t="s">
        <v>552</v>
      </c>
    </row>
    <row r="1283" spans="1:8" ht="28.8" x14ac:dyDescent="0.3">
      <c r="A1283" s="318" t="s">
        <v>244</v>
      </c>
      <c r="B1283" s="301"/>
      <c r="C1283" s="297"/>
      <c r="D1283" s="410"/>
      <c r="E1283" s="411"/>
      <c r="F1283" s="412"/>
      <c r="G1283" s="319" t="s">
        <v>607</v>
      </c>
    </row>
    <row r="1284" spans="1:8" ht="28.8" x14ac:dyDescent="0.3">
      <c r="A1284" s="416" t="s">
        <v>521</v>
      </c>
      <c r="B1284" s="264" t="s">
        <v>522</v>
      </c>
      <c r="C1284" s="409"/>
      <c r="D1284" s="616"/>
      <c r="E1284" s="617"/>
      <c r="F1284" s="412"/>
      <c r="G1284" s="330" t="s">
        <v>608</v>
      </c>
      <c r="H1284" s="458"/>
    </row>
    <row r="1285" spans="1:8" ht="28.8" x14ac:dyDescent="0.3">
      <c r="A1285" s="285" t="s">
        <v>542</v>
      </c>
      <c r="B1285" s="69" t="s">
        <v>543</v>
      </c>
      <c r="C1285" s="297"/>
      <c r="D1285" s="425"/>
      <c r="E1285" s="426"/>
      <c r="F1285" s="412"/>
      <c r="G1285" s="459" t="s">
        <v>609</v>
      </c>
      <c r="H1285" s="428"/>
    </row>
    <row r="1286" spans="1:8" x14ac:dyDescent="0.3">
      <c r="A1286" s="285" t="s">
        <v>246</v>
      </c>
      <c r="B1286" s="137"/>
      <c r="C1286" s="194"/>
      <c r="D1286" s="282"/>
      <c r="E1286" s="69"/>
      <c r="F1286" s="70">
        <v>45531</v>
      </c>
      <c r="G1286" s="291" t="s">
        <v>42</v>
      </c>
    </row>
    <row r="1287" spans="1:8" x14ac:dyDescent="0.3">
      <c r="A1287" s="47"/>
      <c r="B1287" s="163"/>
      <c r="C1287" s="22"/>
      <c r="D1287" s="48"/>
      <c r="F1287" s="6"/>
      <c r="G1287" s="2"/>
    </row>
    <row r="1288" spans="1:8" ht="15" thickBot="1" x14ac:dyDescent="0.35">
      <c r="A1288" s="188"/>
      <c r="B1288" s="189"/>
      <c r="C1288" s="23"/>
      <c r="D1288" s="190"/>
      <c r="E1288" s="4"/>
      <c r="F1288" s="7"/>
      <c r="G1288" s="5"/>
    </row>
    <row r="1289" spans="1:8" x14ac:dyDescent="0.3">
      <c r="A1289" s="60" t="s">
        <v>236</v>
      </c>
      <c r="B1289" s="162"/>
      <c r="C1289" s="61" t="s">
        <v>239</v>
      </c>
      <c r="D1289" s="62"/>
      <c r="E1289" s="62"/>
      <c r="F1289" s="63"/>
      <c r="G1289" s="64"/>
    </row>
    <row r="1290" spans="1:8" x14ac:dyDescent="0.3">
      <c r="A1290" s="455" t="s">
        <v>502</v>
      </c>
      <c r="B1290" s="305"/>
      <c r="C1290" s="306"/>
      <c r="D1290" s="661" t="s">
        <v>619</v>
      </c>
      <c r="E1290" s="662"/>
      <c r="F1290" s="308"/>
      <c r="G1290" s="451" t="s">
        <v>620</v>
      </c>
    </row>
    <row r="1291" spans="1:8" x14ac:dyDescent="0.3">
      <c r="A1291" s="267" t="s">
        <v>270</v>
      </c>
      <c r="B1291" s="141"/>
      <c r="C1291" s="263"/>
      <c r="D1291" s="264"/>
      <c r="E1291" s="303" t="s">
        <v>532</v>
      </c>
      <c r="F1291" s="265"/>
      <c r="G1291" s="269" t="s">
        <v>621</v>
      </c>
    </row>
    <row r="1292" spans="1:8" ht="28.8" x14ac:dyDescent="0.3">
      <c r="A1292" s="267" t="s">
        <v>534</v>
      </c>
      <c r="B1292" s="141"/>
      <c r="C1292" s="263"/>
      <c r="D1292" s="263" t="s">
        <v>281</v>
      </c>
      <c r="E1292" s="265" t="s">
        <v>282</v>
      </c>
      <c r="F1292" s="265"/>
      <c r="G1292" s="268" t="s">
        <v>622</v>
      </c>
    </row>
    <row r="1293" spans="1:8" ht="28.8" customHeight="1" x14ac:dyDescent="0.3">
      <c r="A1293" s="267" t="s">
        <v>424</v>
      </c>
      <c r="B1293" s="141"/>
      <c r="C1293" s="610" t="s">
        <v>473</v>
      </c>
      <c r="D1293" s="611"/>
      <c r="E1293" s="265" t="s">
        <v>440</v>
      </c>
      <c r="F1293" s="265"/>
      <c r="G1293" s="268" t="s">
        <v>623</v>
      </c>
    </row>
    <row r="1294" spans="1:8" x14ac:dyDescent="0.3">
      <c r="A1294" s="318" t="s">
        <v>332</v>
      </c>
      <c r="B1294" s="301" t="s">
        <v>350</v>
      </c>
      <c r="C1294" s="318"/>
      <c r="D1294" s="663" t="s">
        <v>624</v>
      </c>
      <c r="E1294" s="664"/>
      <c r="F1294" s="318"/>
      <c r="G1294" s="456" t="s">
        <v>625</v>
      </c>
    </row>
    <row r="1295" spans="1:8" ht="28.8" x14ac:dyDescent="0.3">
      <c r="A1295" s="285" t="s">
        <v>521</v>
      </c>
      <c r="B1295" s="452"/>
      <c r="C1295" s="452"/>
      <c r="D1295" s="453"/>
      <c r="E1295" s="453"/>
      <c r="F1295" s="452"/>
      <c r="G1295" s="457" t="s">
        <v>626</v>
      </c>
    </row>
    <row r="1296" spans="1:8" x14ac:dyDescent="0.3">
      <c r="A1296" s="454"/>
      <c r="B1296" s="452"/>
      <c r="C1296" s="452"/>
      <c r="D1296" s="453"/>
      <c r="E1296" s="453"/>
      <c r="F1296" s="452"/>
      <c r="G1296" s="457"/>
    </row>
    <row r="1297" spans="1:7" ht="14.4" customHeight="1" x14ac:dyDescent="0.3">
      <c r="A1297" s="606" t="s">
        <v>452</v>
      </c>
      <c r="B1297" s="602"/>
      <c r="C1297" s="228"/>
      <c r="D1297" s="229" t="s">
        <v>450</v>
      </c>
      <c r="E1297" s="238"/>
      <c r="F1297" s="239"/>
      <c r="G1297" s="280" t="s">
        <v>454</v>
      </c>
    </row>
    <row r="1298" spans="1:7" ht="14.4" customHeight="1" x14ac:dyDescent="0.3">
      <c r="A1298" s="606" t="s">
        <v>451</v>
      </c>
      <c r="B1298" s="602"/>
      <c r="C1298" s="228"/>
      <c r="D1298" s="229" t="s">
        <v>450</v>
      </c>
      <c r="E1298" s="238"/>
      <c r="F1298" s="239"/>
      <c r="G1298" s="280" t="s">
        <v>454</v>
      </c>
    </row>
    <row r="1299" spans="1:7" ht="14.4" customHeight="1" x14ac:dyDescent="0.3">
      <c r="A1299" s="606" t="s">
        <v>453</v>
      </c>
      <c r="B1299" s="602"/>
      <c r="C1299" s="228"/>
      <c r="D1299" s="229" t="s">
        <v>450</v>
      </c>
      <c r="E1299" s="238"/>
      <c r="F1299" s="239"/>
      <c r="G1299" s="280" t="s">
        <v>454</v>
      </c>
    </row>
    <row r="1300" spans="1:7" ht="14.4" customHeight="1" x14ac:dyDescent="0.3">
      <c r="A1300" s="241"/>
      <c r="B1300" s="240"/>
      <c r="C1300" s="228"/>
      <c r="D1300" s="229"/>
      <c r="E1300" s="238"/>
      <c r="F1300" s="239"/>
      <c r="G1300" s="232"/>
    </row>
    <row r="1301" spans="1:7" ht="14.4" customHeight="1" x14ac:dyDescent="0.3">
      <c r="A1301" s="606" t="s">
        <v>455</v>
      </c>
      <c r="B1301" s="602"/>
      <c r="C1301" s="228"/>
      <c r="D1301" s="275" t="s">
        <v>457</v>
      </c>
      <c r="E1301" s="240"/>
      <c r="F1301" s="239"/>
      <c r="G1301" s="281" t="s">
        <v>456</v>
      </c>
    </row>
    <row r="1302" spans="1:7" ht="14.4" customHeight="1" x14ac:dyDescent="0.3">
      <c r="A1302" s="606" t="s">
        <v>458</v>
      </c>
      <c r="B1302" s="602"/>
      <c r="C1302" s="228"/>
      <c r="D1302" s="275" t="s">
        <v>450</v>
      </c>
      <c r="E1302" s="240"/>
      <c r="F1302" s="239"/>
      <c r="G1302" s="281" t="s">
        <v>456</v>
      </c>
    </row>
    <row r="1303" spans="1:7" ht="14.4" customHeight="1" x14ac:dyDescent="0.3">
      <c r="A1303" s="606" t="s">
        <v>459</v>
      </c>
      <c r="B1303" s="602"/>
      <c r="C1303" s="228"/>
      <c r="D1303" s="275" t="s">
        <v>450</v>
      </c>
      <c r="E1303" s="240"/>
      <c r="F1303" s="239"/>
      <c r="G1303" s="281" t="s">
        <v>456</v>
      </c>
    </row>
    <row r="1304" spans="1:7" ht="14.4" customHeight="1" x14ac:dyDescent="0.3">
      <c r="A1304" s="606" t="s">
        <v>460</v>
      </c>
      <c r="B1304" s="602"/>
      <c r="C1304" s="228"/>
      <c r="D1304" s="275" t="s">
        <v>450</v>
      </c>
      <c r="E1304" s="240"/>
      <c r="F1304" s="239"/>
      <c r="G1304" s="281" t="s">
        <v>456</v>
      </c>
    </row>
    <row r="1305" spans="1:7" ht="14.4" customHeight="1" x14ac:dyDescent="0.3">
      <c r="A1305" s="606" t="s">
        <v>461</v>
      </c>
      <c r="B1305" s="602"/>
      <c r="C1305" s="228"/>
      <c r="D1305" s="275" t="s">
        <v>457</v>
      </c>
      <c r="E1305" s="240"/>
      <c r="F1305" s="239"/>
      <c r="G1305" s="281" t="s">
        <v>456</v>
      </c>
    </row>
    <row r="1306" spans="1:7" ht="14.4" customHeight="1" x14ac:dyDescent="0.3">
      <c r="A1306" s="606" t="s">
        <v>462</v>
      </c>
      <c r="B1306" s="602"/>
      <c r="C1306" s="228"/>
      <c r="D1306" s="275" t="s">
        <v>450</v>
      </c>
      <c r="E1306" s="240"/>
      <c r="F1306" s="239"/>
      <c r="G1306" s="281" t="s">
        <v>456</v>
      </c>
    </row>
    <row r="1307" spans="1:7" ht="14.4" customHeight="1" x14ac:dyDescent="0.3">
      <c r="A1307" s="606" t="s">
        <v>463</v>
      </c>
      <c r="B1307" s="602"/>
      <c r="C1307" s="228"/>
      <c r="D1307" s="275" t="s">
        <v>450</v>
      </c>
      <c r="E1307" s="240"/>
      <c r="F1307" s="239"/>
      <c r="G1307" s="281" t="s">
        <v>456</v>
      </c>
    </row>
    <row r="1308" spans="1:7" ht="14.4" customHeight="1" x14ac:dyDescent="0.3">
      <c r="A1308" s="606" t="s">
        <v>464</v>
      </c>
      <c r="B1308" s="602"/>
      <c r="C1308" s="228"/>
      <c r="D1308" s="275" t="s">
        <v>450</v>
      </c>
      <c r="E1308" s="240"/>
      <c r="F1308" s="239"/>
      <c r="G1308" s="281" t="s">
        <v>456</v>
      </c>
    </row>
    <row r="1309" spans="1:7" ht="14.4" customHeight="1" x14ac:dyDescent="0.3">
      <c r="A1309" s="241"/>
      <c r="B1309" s="240"/>
      <c r="C1309" s="228"/>
      <c r="D1309" s="275"/>
      <c r="E1309" s="278" t="s">
        <v>469</v>
      </c>
      <c r="F1309" s="239"/>
      <c r="G1309" s="232"/>
    </row>
    <row r="1310" spans="1:7" ht="14.4" customHeight="1" x14ac:dyDescent="0.3">
      <c r="A1310" s="606" t="s">
        <v>465</v>
      </c>
      <c r="B1310" s="602"/>
      <c r="C1310" s="228"/>
      <c r="D1310" s="275" t="s">
        <v>457</v>
      </c>
      <c r="E1310" s="235"/>
      <c r="F1310" s="239"/>
      <c r="G1310" s="281" t="s">
        <v>468</v>
      </c>
    </row>
    <row r="1311" spans="1:7" ht="14.4" customHeight="1" x14ac:dyDescent="0.3">
      <c r="A1311" s="606" t="s">
        <v>466</v>
      </c>
      <c r="B1311" s="602"/>
      <c r="C1311" s="228"/>
      <c r="D1311" s="275" t="s">
        <v>457</v>
      </c>
      <c r="E1311" s="235"/>
      <c r="F1311" s="239"/>
      <c r="G1311" s="281" t="s">
        <v>468</v>
      </c>
    </row>
    <row r="1312" spans="1:7" ht="14.4" customHeight="1" x14ac:dyDescent="0.3">
      <c r="A1312" s="606" t="s">
        <v>467</v>
      </c>
      <c r="B1312" s="602"/>
      <c r="C1312" s="228"/>
      <c r="D1312" s="275" t="s">
        <v>450</v>
      </c>
      <c r="E1312" s="235"/>
      <c r="F1312" s="239"/>
      <c r="G1312" s="281" t="s">
        <v>468</v>
      </c>
    </row>
    <row r="1313" spans="1:7" x14ac:dyDescent="0.3">
      <c r="A1313" s="241"/>
      <c r="B1313" s="235"/>
      <c r="C1313" s="228"/>
      <c r="D1313" s="229"/>
      <c r="E1313" s="279" t="s">
        <v>470</v>
      </c>
      <c r="F1313" s="239"/>
      <c r="G1313" s="232"/>
    </row>
    <row r="1314" spans="1:7" ht="14.4" customHeight="1" x14ac:dyDescent="0.3">
      <c r="A1314" s="606" t="s">
        <v>558</v>
      </c>
      <c r="B1314" s="602"/>
      <c r="C1314" s="228"/>
      <c r="D1314" s="229"/>
      <c r="E1314" s="235"/>
      <c r="F1314" s="239"/>
      <c r="G1314" s="232"/>
    </row>
    <row r="1315" spans="1:7" ht="14.4" customHeight="1" x14ac:dyDescent="0.3">
      <c r="A1315" s="606" t="s">
        <v>559</v>
      </c>
      <c r="B1315" s="602"/>
      <c r="C1315" s="228"/>
      <c r="D1315" s="229"/>
      <c r="E1315" s="235"/>
      <c r="F1315" s="239"/>
      <c r="G1315" s="232"/>
    </row>
    <row r="1316" spans="1:7" ht="14.4" customHeight="1" x14ac:dyDescent="0.3">
      <c r="A1316" s="606" t="s">
        <v>560</v>
      </c>
      <c r="B1316" s="602"/>
      <c r="C1316" s="228"/>
      <c r="D1316" s="229"/>
      <c r="E1316" s="235"/>
      <c r="F1316" s="239"/>
      <c r="G1316" s="232"/>
    </row>
    <row r="1317" spans="1:7" ht="14.4" customHeight="1" x14ac:dyDescent="0.3">
      <c r="A1317" s="665" t="s">
        <v>561</v>
      </c>
      <c r="B1317" s="602"/>
      <c r="C1317" s="228"/>
      <c r="D1317" s="229"/>
      <c r="E1317" s="235"/>
      <c r="F1317" s="239"/>
      <c r="G1317" s="232"/>
    </row>
    <row r="1318" spans="1:7" x14ac:dyDescent="0.3">
      <c r="A1318" s="666" t="s">
        <v>562</v>
      </c>
      <c r="B1318" s="608"/>
      <c r="C1318" s="228"/>
      <c r="D1318" s="229"/>
      <c r="E1318" s="235"/>
      <c r="F1318" s="239"/>
      <c r="G1318" s="232"/>
    </row>
    <row r="1319" spans="1:7" ht="14.4" customHeight="1" x14ac:dyDescent="0.3">
      <c r="A1319" s="665" t="s">
        <v>563</v>
      </c>
      <c r="B1319" s="602"/>
      <c r="C1319" s="228"/>
      <c r="D1319" s="229"/>
      <c r="E1319" s="235"/>
      <c r="F1319" s="239"/>
      <c r="G1319" s="232"/>
    </row>
    <row r="1320" spans="1:7" ht="14.4" customHeight="1" x14ac:dyDescent="0.3">
      <c r="A1320" s="665" t="s">
        <v>564</v>
      </c>
      <c r="B1320" s="602"/>
      <c r="C1320" s="228"/>
      <c r="D1320" s="229"/>
      <c r="E1320" s="235"/>
      <c r="F1320" s="239"/>
      <c r="G1320" s="232"/>
    </row>
    <row r="1321" spans="1:7" ht="14.4" customHeight="1" x14ac:dyDescent="0.3">
      <c r="A1321" s="665" t="s">
        <v>565</v>
      </c>
      <c r="B1321" s="602"/>
      <c r="C1321" s="228"/>
      <c r="D1321" s="229"/>
      <c r="E1321" s="235"/>
      <c r="F1321" s="239"/>
      <c r="G1321" s="232"/>
    </row>
    <row r="1322" spans="1:7" ht="14.4" customHeight="1" x14ac:dyDescent="0.3">
      <c r="A1322" s="665" t="s">
        <v>566</v>
      </c>
      <c r="B1322" s="602"/>
      <c r="C1322" s="228"/>
      <c r="D1322" s="229"/>
      <c r="E1322" s="235"/>
      <c r="F1322" s="239"/>
      <c r="G1322" s="232"/>
    </row>
    <row r="1323" spans="1:7" ht="14.4" customHeight="1" x14ac:dyDescent="0.3">
      <c r="A1323" s="665" t="s">
        <v>567</v>
      </c>
      <c r="B1323" s="602"/>
      <c r="C1323" s="228"/>
      <c r="D1323" s="229"/>
      <c r="E1323" s="235"/>
      <c r="F1323" s="239"/>
      <c r="G1323" s="232"/>
    </row>
    <row r="1324" spans="1:7" ht="14.4" customHeight="1" x14ac:dyDescent="0.3">
      <c r="A1324" s="1" t="s">
        <v>568</v>
      </c>
      <c r="B1324" s="8"/>
      <c r="C1324" s="228"/>
      <c r="D1324" s="229"/>
      <c r="E1324" s="235"/>
      <c r="F1324" s="239"/>
      <c r="G1324" s="232"/>
    </row>
    <row r="1325" spans="1:7" ht="14.4" customHeight="1" x14ac:dyDescent="0.3">
      <c r="A1325" s="606" t="s">
        <v>569</v>
      </c>
      <c r="B1325" s="603"/>
      <c r="C1325" s="228"/>
      <c r="D1325" s="229"/>
      <c r="E1325" s="235"/>
      <c r="F1325" s="239"/>
      <c r="G1325" s="232"/>
    </row>
    <row r="1326" spans="1:7" ht="14.4" customHeight="1" x14ac:dyDescent="0.3">
      <c r="A1326" s="1"/>
      <c r="B1326" s="8"/>
      <c r="C1326" s="228"/>
      <c r="D1326" s="229"/>
      <c r="E1326" s="235"/>
      <c r="F1326" s="239"/>
      <c r="G1326" s="232"/>
    </row>
    <row r="1327" spans="1:7" x14ac:dyDescent="0.3">
      <c r="A1327" s="1"/>
      <c r="B1327" s="8"/>
      <c r="C1327" s="228"/>
      <c r="D1327" s="229"/>
      <c r="E1327" s="235"/>
      <c r="F1327" s="239"/>
      <c r="G1327" s="232"/>
    </row>
    <row r="1328" spans="1:7" x14ac:dyDescent="0.3">
      <c r="A1328" s="248" t="s">
        <v>9</v>
      </c>
      <c r="B1328" s="249"/>
      <c r="C1328" s="266" t="s">
        <v>212</v>
      </c>
      <c r="D1328" s="250"/>
      <c r="E1328" s="250"/>
      <c r="F1328" s="251"/>
      <c r="G1328" s="252"/>
    </row>
    <row r="1329" spans="1:7" x14ac:dyDescent="0.3">
      <c r="A1329" s="226" t="s">
        <v>308</v>
      </c>
      <c r="B1329" s="235"/>
      <c r="C1329" s="228"/>
      <c r="D1329" s="229"/>
      <c r="E1329" s="230"/>
      <c r="F1329" s="231"/>
      <c r="G1329" s="232" t="s">
        <v>42</v>
      </c>
    </row>
    <row r="1330" spans="1:7" x14ac:dyDescent="0.3">
      <c r="A1330" s="237"/>
      <c r="B1330" s="230"/>
      <c r="C1330" s="228"/>
      <c r="D1330" s="230"/>
      <c r="E1330" s="230"/>
      <c r="F1330" s="231"/>
      <c r="G1330" s="232"/>
    </row>
    <row r="1331" spans="1:7" x14ac:dyDescent="0.3">
      <c r="A1331" s="604" t="s">
        <v>472</v>
      </c>
      <c r="B1331" s="605"/>
      <c r="C1331" s="228"/>
      <c r="D1331" s="230"/>
      <c r="E1331" s="230"/>
      <c r="F1331" s="231"/>
      <c r="G1331" s="232"/>
    </row>
    <row r="1332" spans="1:7" x14ac:dyDescent="0.3">
      <c r="A1332" s="237"/>
      <c r="B1332" s="230"/>
      <c r="C1332" s="228"/>
      <c r="D1332" s="230"/>
      <c r="E1332" s="230"/>
      <c r="F1332" s="231"/>
      <c r="G1332" s="232"/>
    </row>
    <row r="1333" spans="1:7" ht="15" thickBot="1" x14ac:dyDescent="0.35">
      <c r="A1333" s="253"/>
      <c r="B1333" s="254"/>
      <c r="C1333" s="255"/>
      <c r="D1333" s="254"/>
      <c r="E1333" s="254"/>
      <c r="F1333" s="256"/>
      <c r="G1333" s="257"/>
    </row>
    <row r="1336" spans="1:7" ht="28.8" x14ac:dyDescent="0.3">
      <c r="A1336" s="596" t="s">
        <v>557</v>
      </c>
      <c r="B1336" s="596"/>
      <c r="C1336" s="596"/>
      <c r="D1336" s="596"/>
      <c r="E1336" s="596"/>
      <c r="F1336" s="596"/>
      <c r="G1336" s="596"/>
    </row>
    <row r="1337" spans="1:7" ht="28.8" x14ac:dyDescent="0.3">
      <c r="A1337" s="150"/>
      <c r="B1337" s="150"/>
      <c r="C1337" s="150"/>
      <c r="D1337" s="150"/>
      <c r="E1337" s="150"/>
      <c r="F1337" s="150"/>
      <c r="G1337" s="150"/>
    </row>
    <row r="1338" spans="1:7" ht="21.6" thickBot="1" x14ac:dyDescent="0.45">
      <c r="A1338" s="597" t="s">
        <v>627</v>
      </c>
      <c r="B1338" s="642"/>
      <c r="C1338" s="642"/>
      <c r="D1338" s="642"/>
      <c r="E1338" s="642"/>
      <c r="F1338" s="642"/>
      <c r="G1338" s="642"/>
    </row>
    <row r="1339" spans="1:7" ht="18.600000000000001" thickBot="1" x14ac:dyDescent="0.35">
      <c r="A1339" s="360" t="s">
        <v>235</v>
      </c>
      <c r="B1339" s="361" t="s">
        <v>34</v>
      </c>
      <c r="C1339" s="361" t="s">
        <v>1</v>
      </c>
      <c r="D1339" s="623" t="s">
        <v>4</v>
      </c>
      <c r="E1339" s="624"/>
      <c r="F1339" s="361" t="s">
        <v>2</v>
      </c>
      <c r="G1339" s="362" t="s">
        <v>3</v>
      </c>
    </row>
    <row r="1340" spans="1:7" ht="15" thickBot="1" x14ac:dyDescent="0.35">
      <c r="A1340" s="219" t="s">
        <v>237</v>
      </c>
      <c r="B1340" s="162"/>
      <c r="C1340" s="61" t="s">
        <v>208</v>
      </c>
      <c r="D1340" s="62"/>
      <c r="E1340" s="62"/>
      <c r="F1340" s="63"/>
      <c r="G1340" s="64"/>
    </row>
    <row r="1341" spans="1:7" ht="28.8" x14ac:dyDescent="0.3">
      <c r="A1341" s="323" t="s">
        <v>247</v>
      </c>
      <c r="B1341" s="324" t="s">
        <v>248</v>
      </c>
      <c r="C1341" s="325"/>
      <c r="D1341" s="619"/>
      <c r="E1341" s="620"/>
      <c r="F1341" s="326">
        <v>45443</v>
      </c>
      <c r="G1341" s="327" t="s">
        <v>505</v>
      </c>
    </row>
    <row r="1342" spans="1:7" x14ac:dyDescent="0.3">
      <c r="A1342" s="175" t="s">
        <v>228</v>
      </c>
      <c r="B1342" s="174" t="e">
        <f>#REF!</f>
        <v>#REF!</v>
      </c>
      <c r="C1342" s="69"/>
      <c r="D1342" s="197" t="s">
        <v>429</v>
      </c>
      <c r="E1342" s="198"/>
      <c r="F1342" s="70"/>
      <c r="G1342" s="192" t="s">
        <v>42</v>
      </c>
    </row>
    <row r="1343" spans="1:7" x14ac:dyDescent="0.3">
      <c r="A1343" s="1" t="s">
        <v>508</v>
      </c>
      <c r="B1343" t="s">
        <v>509</v>
      </c>
      <c r="C1343" s="6"/>
      <c r="D1343" s="614" t="s">
        <v>600</v>
      </c>
      <c r="E1343" s="615"/>
      <c r="F1343" s="46"/>
      <c r="G1343" s="322" t="s">
        <v>601</v>
      </c>
    </row>
    <row r="1344" spans="1:7" x14ac:dyDescent="0.3">
      <c r="A1344" s="186" t="s">
        <v>323</v>
      </c>
      <c r="B1344" s="81" t="s">
        <v>250</v>
      </c>
      <c r="C1344" s="22"/>
      <c r="D1344" s="612" t="s">
        <v>61</v>
      </c>
      <c r="E1344" s="613"/>
      <c r="F1344" s="46"/>
      <c r="G1344" s="317"/>
    </row>
    <row r="1345" spans="1:7" x14ac:dyDescent="0.3">
      <c r="A1345" s="1" t="s">
        <v>335</v>
      </c>
      <c r="B1345" t="s">
        <v>337</v>
      </c>
      <c r="C1345" s="6"/>
      <c r="D1345" s="612" t="s">
        <v>61</v>
      </c>
      <c r="E1345" s="613"/>
      <c r="F1345" s="6"/>
      <c r="G1345" s="317"/>
    </row>
    <row r="1346" spans="1:7" x14ac:dyDescent="0.3">
      <c r="A1346" s="186" t="s">
        <v>476</v>
      </c>
      <c r="B1346" t="s">
        <v>249</v>
      </c>
      <c r="C1346" s="6"/>
      <c r="D1346" s="612" t="s">
        <v>511</v>
      </c>
      <c r="E1346" s="613"/>
      <c r="F1346" s="46"/>
      <c r="G1346" s="317"/>
    </row>
    <row r="1347" spans="1:7" x14ac:dyDescent="0.3">
      <c r="A1347" s="1" t="s">
        <v>242</v>
      </c>
      <c r="B1347" t="s">
        <v>324</v>
      </c>
      <c r="C1347" s="6"/>
      <c r="D1347" s="612" t="s">
        <v>512</v>
      </c>
      <c r="E1347" s="613"/>
      <c r="F1347" s="6"/>
      <c r="G1347" s="317" t="s">
        <v>602</v>
      </c>
    </row>
    <row r="1348" spans="1:7" x14ac:dyDescent="0.3">
      <c r="A1348" s="13" t="s">
        <v>320</v>
      </c>
      <c r="B1348" s="169" t="s">
        <v>338</v>
      </c>
      <c r="C1348" s="193"/>
      <c r="D1348" s="612" t="s">
        <v>61</v>
      </c>
      <c r="E1348" s="613"/>
      <c r="F1348" s="191"/>
      <c r="G1348" s="292"/>
    </row>
    <row r="1349" spans="1:7" x14ac:dyDescent="0.3">
      <c r="A1349" s="175" t="s">
        <v>243</v>
      </c>
      <c r="B1349" s="174" t="s">
        <v>251</v>
      </c>
      <c r="C1349" s="194"/>
      <c r="D1349" s="614" t="s">
        <v>603</v>
      </c>
      <c r="E1349" s="615"/>
      <c r="F1349" s="70">
        <v>45540</v>
      </c>
      <c r="G1349" s="223"/>
    </row>
    <row r="1350" spans="1:7" ht="28.8" x14ac:dyDescent="0.3">
      <c r="A1350" s="318" t="s">
        <v>332</v>
      </c>
      <c r="B1350" s="301" t="s">
        <v>350</v>
      </c>
      <c r="C1350" s="297"/>
      <c r="D1350" s="616" t="s">
        <v>604</v>
      </c>
      <c r="E1350" s="617"/>
      <c r="F1350" s="298"/>
      <c r="G1350" s="319" t="s">
        <v>552</v>
      </c>
    </row>
    <row r="1351" spans="1:7" ht="28.8" x14ac:dyDescent="0.3">
      <c r="A1351" s="286" t="s">
        <v>348</v>
      </c>
      <c r="B1351" s="69" t="e">
        <v>#REF!</v>
      </c>
      <c r="C1351" s="194"/>
      <c r="D1351" s="618"/>
      <c r="E1351" s="618"/>
      <c r="F1351" s="70"/>
      <c r="G1351" s="328" t="s">
        <v>515</v>
      </c>
    </row>
    <row r="1352" spans="1:7" ht="28.8" x14ac:dyDescent="0.3">
      <c r="A1352" s="285" t="s">
        <v>478</v>
      </c>
      <c r="B1352" s="296" t="s">
        <v>417</v>
      </c>
      <c r="C1352" s="297"/>
      <c r="D1352" s="609" t="s">
        <v>262</v>
      </c>
      <c r="E1352" s="609"/>
      <c r="F1352" s="298"/>
      <c r="G1352" s="339" t="s">
        <v>551</v>
      </c>
    </row>
    <row r="1353" spans="1:7" ht="28.8" x14ac:dyDescent="0.3">
      <c r="A1353" s="427" t="s">
        <v>491</v>
      </c>
      <c r="B1353" s="125" t="s">
        <v>516</v>
      </c>
      <c r="C1353" s="297"/>
      <c r="D1353" s="609" t="s">
        <v>605</v>
      </c>
      <c r="E1353" s="609"/>
      <c r="F1353" s="298"/>
      <c r="G1353" s="330" t="s">
        <v>553</v>
      </c>
    </row>
    <row r="1354" spans="1:7" ht="43.2" x14ac:dyDescent="0.3">
      <c r="A1354" s="285" t="s">
        <v>518</v>
      </c>
      <c r="B1354" s="125" t="s">
        <v>519</v>
      </c>
      <c r="C1354" s="297"/>
      <c r="D1354" s="609" t="s">
        <v>520</v>
      </c>
      <c r="E1354" s="609"/>
      <c r="F1354" s="320">
        <v>45531</v>
      </c>
      <c r="G1354" s="330" t="s">
        <v>554</v>
      </c>
    </row>
    <row r="1355" spans="1:7" ht="28.8" x14ac:dyDescent="0.3">
      <c r="A1355" s="285" t="s">
        <v>521</v>
      </c>
      <c r="B1355" s="125" t="s">
        <v>522</v>
      </c>
      <c r="C1355" s="297"/>
      <c r="D1355" s="609" t="s">
        <v>555</v>
      </c>
      <c r="E1355" s="609"/>
      <c r="F1355" s="320">
        <v>45531</v>
      </c>
      <c r="G1355" s="330" t="s">
        <v>554</v>
      </c>
    </row>
    <row r="1356" spans="1:7" x14ac:dyDescent="0.3">
      <c r="A1356" s="285" t="s">
        <v>523</v>
      </c>
      <c r="B1356" s="69" t="s">
        <v>524</v>
      </c>
      <c r="C1356" s="297"/>
      <c r="D1356" s="609" t="s">
        <v>606</v>
      </c>
      <c r="E1356" s="609"/>
      <c r="F1356" s="412">
        <v>45538</v>
      </c>
      <c r="G1356" s="331" t="s">
        <v>556</v>
      </c>
    </row>
    <row r="1357" spans="1:7" x14ac:dyDescent="0.3">
      <c r="A1357" s="285" t="s">
        <v>542</v>
      </c>
      <c r="B1357" s="69" t="s">
        <v>543</v>
      </c>
      <c r="C1357" s="297"/>
      <c r="D1357" s="609" t="s">
        <v>544</v>
      </c>
      <c r="E1357" s="609"/>
      <c r="F1357" s="298"/>
      <c r="G1357" s="299"/>
    </row>
    <row r="1358" spans="1:7" x14ac:dyDescent="0.3">
      <c r="A1358" s="285" t="s">
        <v>545</v>
      </c>
      <c r="B1358" s="69"/>
      <c r="C1358" s="297" t="s">
        <v>546</v>
      </c>
      <c r="D1358" s="609" t="s">
        <v>547</v>
      </c>
      <c r="E1358" s="609"/>
      <c r="F1358" s="298">
        <v>45534</v>
      </c>
      <c r="G1358" s="299"/>
    </row>
    <row r="1359" spans="1:7" ht="15" thickBot="1" x14ac:dyDescent="0.35">
      <c r="A1359" s="332"/>
      <c r="B1359" s="333"/>
      <c r="C1359" s="334"/>
      <c r="D1359" s="335"/>
      <c r="E1359" s="336"/>
      <c r="F1359" s="337"/>
      <c r="G1359" s="207"/>
    </row>
    <row r="1360" spans="1:7" x14ac:dyDescent="0.3">
      <c r="A1360" s="65" t="s">
        <v>238</v>
      </c>
      <c r="B1360" s="164"/>
      <c r="C1360" s="321" t="s">
        <v>211</v>
      </c>
      <c r="D1360" s="66"/>
      <c r="E1360" s="66"/>
      <c r="F1360" s="67"/>
      <c r="G1360" s="68"/>
    </row>
    <row r="1361" spans="1:7" x14ac:dyDescent="0.3">
      <c r="A1361" s="1" t="s">
        <v>242</v>
      </c>
      <c r="B1361" t="s">
        <v>324</v>
      </c>
      <c r="C1361" s="194"/>
      <c r="D1361" s="282"/>
      <c r="E1361" s="69"/>
      <c r="F1361" s="70"/>
      <c r="G1361" s="101" t="s">
        <v>583</v>
      </c>
    </row>
    <row r="1362" spans="1:7" x14ac:dyDescent="0.3">
      <c r="A1362" s="288" t="s">
        <v>527</v>
      </c>
      <c r="B1362" s="174" t="s">
        <v>524</v>
      </c>
      <c r="C1362" s="194"/>
      <c r="D1362" s="197"/>
      <c r="E1362" s="198"/>
      <c r="F1362" s="70"/>
      <c r="G1362" s="101" t="s">
        <v>582</v>
      </c>
    </row>
    <row r="1363" spans="1:7" x14ac:dyDescent="0.3">
      <c r="A1363" s="290" t="s">
        <v>428</v>
      </c>
      <c r="B1363" s="125"/>
      <c r="C1363" s="194"/>
      <c r="D1363" s="283"/>
      <c r="E1363" s="283"/>
      <c r="F1363" s="69"/>
      <c r="G1363" s="101" t="s">
        <v>582</v>
      </c>
    </row>
    <row r="1364" spans="1:7" x14ac:dyDescent="0.3">
      <c r="A1364" s="290" t="s">
        <v>581</v>
      </c>
      <c r="B1364" s="125"/>
      <c r="C1364" s="194"/>
      <c r="D1364" s="283"/>
      <c r="E1364" s="283"/>
      <c r="F1364" s="69"/>
      <c r="G1364" s="101" t="s">
        <v>582</v>
      </c>
    </row>
    <row r="1365" spans="1:7" ht="28.8" x14ac:dyDescent="0.3">
      <c r="A1365" s="318" t="s">
        <v>332</v>
      </c>
      <c r="B1365" s="301" t="s">
        <v>350</v>
      </c>
      <c r="C1365" s="297" t="s">
        <v>525</v>
      </c>
      <c r="D1365" s="592" t="s">
        <v>550</v>
      </c>
      <c r="E1365" s="593"/>
      <c r="F1365" s="412" t="s">
        <v>207</v>
      </c>
      <c r="G1365" s="413" t="s">
        <v>552</v>
      </c>
    </row>
    <row r="1366" spans="1:7" ht="28.8" x14ac:dyDescent="0.3">
      <c r="A1366" s="318" t="s">
        <v>244</v>
      </c>
      <c r="B1366" s="301"/>
      <c r="C1366" s="297"/>
      <c r="D1366" s="410"/>
      <c r="E1366" s="411"/>
      <c r="F1366" s="412"/>
      <c r="G1366" s="319" t="s">
        <v>607</v>
      </c>
    </row>
    <row r="1367" spans="1:7" ht="28.8" x14ac:dyDescent="0.3">
      <c r="A1367" s="416" t="s">
        <v>521</v>
      </c>
      <c r="B1367" s="264" t="s">
        <v>522</v>
      </c>
      <c r="C1367" s="409"/>
      <c r="D1367" s="616"/>
      <c r="E1367" s="617"/>
      <c r="F1367" s="412"/>
      <c r="G1367" s="330" t="s">
        <v>628</v>
      </c>
    </row>
    <row r="1368" spans="1:7" ht="28.8" x14ac:dyDescent="0.3">
      <c r="A1368" s="285" t="s">
        <v>542</v>
      </c>
      <c r="B1368" s="69" t="s">
        <v>543</v>
      </c>
      <c r="C1368" s="297"/>
      <c r="D1368" s="425"/>
      <c r="E1368" s="426"/>
      <c r="F1368" s="412"/>
      <c r="G1368" s="459" t="s">
        <v>629</v>
      </c>
    </row>
    <row r="1369" spans="1:7" x14ac:dyDescent="0.3">
      <c r="A1369" s="285" t="s">
        <v>246</v>
      </c>
      <c r="B1369" s="137"/>
      <c r="C1369" s="194"/>
      <c r="D1369" s="282"/>
      <c r="E1369" s="69"/>
      <c r="F1369" s="70">
        <v>45531</v>
      </c>
      <c r="G1369" s="291" t="s">
        <v>42</v>
      </c>
    </row>
    <row r="1370" spans="1:7" x14ac:dyDescent="0.3">
      <c r="A1370" s="47"/>
      <c r="B1370" s="163"/>
      <c r="C1370" s="22"/>
      <c r="D1370" s="48"/>
      <c r="F1370" s="6"/>
      <c r="G1370" s="2"/>
    </row>
    <row r="1371" spans="1:7" ht="15" thickBot="1" x14ac:dyDescent="0.35">
      <c r="A1371" s="188"/>
      <c r="B1371" s="189"/>
      <c r="C1371" s="23"/>
      <c r="D1371" s="190"/>
      <c r="E1371" s="4"/>
      <c r="F1371" s="7"/>
      <c r="G1371" s="5"/>
    </row>
    <row r="1372" spans="1:7" x14ac:dyDescent="0.3">
      <c r="A1372" s="60" t="s">
        <v>236</v>
      </c>
      <c r="B1372" s="162"/>
      <c r="C1372" s="61" t="s">
        <v>239</v>
      </c>
      <c r="D1372" s="62"/>
      <c r="E1372" s="62"/>
      <c r="F1372" s="63"/>
      <c r="G1372" s="64"/>
    </row>
    <row r="1373" spans="1:7" x14ac:dyDescent="0.3">
      <c r="A1373" s="455" t="s">
        <v>502</v>
      </c>
      <c r="B1373" s="305"/>
      <c r="C1373" s="306"/>
      <c r="D1373" s="661" t="s">
        <v>619</v>
      </c>
      <c r="E1373" s="662"/>
      <c r="F1373" s="308"/>
      <c r="G1373" s="451" t="s">
        <v>620</v>
      </c>
    </row>
    <row r="1374" spans="1:7" x14ac:dyDescent="0.3">
      <c r="A1374" s="267" t="s">
        <v>270</v>
      </c>
      <c r="B1374" s="141"/>
      <c r="C1374" s="263"/>
      <c r="D1374" s="264"/>
      <c r="E1374" s="303" t="s">
        <v>532</v>
      </c>
      <c r="F1374" s="265"/>
      <c r="G1374" s="269" t="s">
        <v>621</v>
      </c>
    </row>
    <row r="1375" spans="1:7" ht="28.8" x14ac:dyDescent="0.3">
      <c r="A1375" s="267" t="s">
        <v>534</v>
      </c>
      <c r="B1375" s="141"/>
      <c r="C1375" s="263"/>
      <c r="D1375" s="263" t="s">
        <v>281</v>
      </c>
      <c r="E1375" s="265" t="s">
        <v>282</v>
      </c>
      <c r="F1375" s="265"/>
      <c r="G1375" s="268" t="s">
        <v>622</v>
      </c>
    </row>
    <row r="1376" spans="1:7" ht="76.8" customHeight="1" x14ac:dyDescent="0.3">
      <c r="A1376" s="267" t="s">
        <v>424</v>
      </c>
      <c r="B1376" s="141"/>
      <c r="C1376" s="610" t="s">
        <v>473</v>
      </c>
      <c r="D1376" s="611"/>
      <c r="E1376" s="265" t="s">
        <v>440</v>
      </c>
      <c r="F1376" s="265"/>
      <c r="G1376" s="268" t="s">
        <v>623</v>
      </c>
    </row>
    <row r="1377" spans="1:7" x14ac:dyDescent="0.3">
      <c r="A1377" s="318" t="s">
        <v>332</v>
      </c>
      <c r="B1377" s="301" t="s">
        <v>350</v>
      </c>
      <c r="C1377" s="318"/>
      <c r="D1377" s="663" t="s">
        <v>624</v>
      </c>
      <c r="E1377" s="664"/>
      <c r="F1377" s="318"/>
      <c r="G1377" s="456" t="s">
        <v>625</v>
      </c>
    </row>
    <row r="1378" spans="1:7" ht="28.8" x14ac:dyDescent="0.3">
      <c r="A1378" s="285" t="s">
        <v>521</v>
      </c>
      <c r="B1378" s="452"/>
      <c r="C1378" s="452"/>
      <c r="D1378" s="453"/>
      <c r="E1378" s="453"/>
      <c r="F1378" s="452"/>
      <c r="G1378" s="457" t="s">
        <v>626</v>
      </c>
    </row>
    <row r="1379" spans="1:7" x14ac:dyDescent="0.3">
      <c r="A1379" s="454"/>
      <c r="B1379" s="452"/>
      <c r="C1379" s="452"/>
      <c r="D1379" s="453"/>
      <c r="E1379" s="453"/>
      <c r="F1379" s="452"/>
      <c r="G1379" s="457"/>
    </row>
    <row r="1380" spans="1:7" x14ac:dyDescent="0.3">
      <c r="A1380" s="606" t="s">
        <v>452</v>
      </c>
      <c r="B1380" s="602"/>
      <c r="C1380" s="228"/>
      <c r="D1380" s="229" t="s">
        <v>450</v>
      </c>
      <c r="E1380" s="238"/>
      <c r="F1380" s="239"/>
      <c r="G1380" s="280" t="s">
        <v>454</v>
      </c>
    </row>
    <row r="1381" spans="1:7" x14ac:dyDescent="0.3">
      <c r="A1381" s="606" t="s">
        <v>451</v>
      </c>
      <c r="B1381" s="602"/>
      <c r="C1381" s="228"/>
      <c r="D1381" s="229" t="s">
        <v>450</v>
      </c>
      <c r="E1381" s="238"/>
      <c r="F1381" s="239"/>
      <c r="G1381" s="280" t="s">
        <v>454</v>
      </c>
    </row>
    <row r="1382" spans="1:7" x14ac:dyDescent="0.3">
      <c r="A1382" s="606" t="s">
        <v>453</v>
      </c>
      <c r="B1382" s="602"/>
      <c r="C1382" s="228"/>
      <c r="D1382" s="229" t="s">
        <v>450</v>
      </c>
      <c r="E1382" s="238"/>
      <c r="F1382" s="239"/>
      <c r="G1382" s="280" t="s">
        <v>454</v>
      </c>
    </row>
    <row r="1383" spans="1:7" x14ac:dyDescent="0.3">
      <c r="A1383" s="241"/>
      <c r="B1383" s="240"/>
      <c r="C1383" s="228"/>
      <c r="D1383" s="229"/>
      <c r="E1383" s="238"/>
      <c r="F1383" s="239"/>
      <c r="G1383" s="232"/>
    </row>
    <row r="1384" spans="1:7" x14ac:dyDescent="0.3">
      <c r="A1384" s="606" t="s">
        <v>455</v>
      </c>
      <c r="B1384" s="602"/>
      <c r="C1384" s="228"/>
      <c r="D1384" s="275" t="s">
        <v>457</v>
      </c>
      <c r="E1384" s="240"/>
      <c r="F1384" s="239"/>
      <c r="G1384" s="281" t="s">
        <v>456</v>
      </c>
    </row>
    <row r="1385" spans="1:7" x14ac:dyDescent="0.3">
      <c r="A1385" s="606" t="s">
        <v>458</v>
      </c>
      <c r="B1385" s="602"/>
      <c r="C1385" s="228"/>
      <c r="D1385" s="275" t="s">
        <v>450</v>
      </c>
      <c r="E1385" s="240"/>
      <c r="F1385" s="239"/>
      <c r="G1385" s="281" t="s">
        <v>456</v>
      </c>
    </row>
    <row r="1386" spans="1:7" x14ac:dyDescent="0.3">
      <c r="A1386" s="606" t="s">
        <v>459</v>
      </c>
      <c r="B1386" s="602"/>
      <c r="C1386" s="228"/>
      <c r="D1386" s="275" t="s">
        <v>450</v>
      </c>
      <c r="E1386" s="240"/>
      <c r="F1386" s="239"/>
      <c r="G1386" s="281" t="s">
        <v>456</v>
      </c>
    </row>
    <row r="1387" spans="1:7" x14ac:dyDescent="0.3">
      <c r="A1387" s="606" t="s">
        <v>460</v>
      </c>
      <c r="B1387" s="602"/>
      <c r="C1387" s="228"/>
      <c r="D1387" s="275" t="s">
        <v>450</v>
      </c>
      <c r="E1387" s="240"/>
      <c r="F1387" s="239"/>
      <c r="G1387" s="281" t="s">
        <v>456</v>
      </c>
    </row>
    <row r="1388" spans="1:7" x14ac:dyDescent="0.3">
      <c r="A1388" s="606" t="s">
        <v>461</v>
      </c>
      <c r="B1388" s="602"/>
      <c r="C1388" s="228"/>
      <c r="D1388" s="275" t="s">
        <v>457</v>
      </c>
      <c r="E1388" s="240"/>
      <c r="F1388" s="239"/>
      <c r="G1388" s="281" t="s">
        <v>456</v>
      </c>
    </row>
    <row r="1389" spans="1:7" x14ac:dyDescent="0.3">
      <c r="A1389" s="606" t="s">
        <v>462</v>
      </c>
      <c r="B1389" s="602"/>
      <c r="C1389" s="228"/>
      <c r="D1389" s="275" t="s">
        <v>450</v>
      </c>
      <c r="E1389" s="240"/>
      <c r="F1389" s="239"/>
      <c r="G1389" s="281" t="s">
        <v>456</v>
      </c>
    </row>
    <row r="1390" spans="1:7" x14ac:dyDescent="0.3">
      <c r="A1390" s="606" t="s">
        <v>463</v>
      </c>
      <c r="B1390" s="602"/>
      <c r="C1390" s="228"/>
      <c r="D1390" s="275" t="s">
        <v>450</v>
      </c>
      <c r="E1390" s="240"/>
      <c r="F1390" s="239"/>
      <c r="G1390" s="281" t="s">
        <v>456</v>
      </c>
    </row>
    <row r="1391" spans="1:7" x14ac:dyDescent="0.3">
      <c r="A1391" s="606" t="s">
        <v>464</v>
      </c>
      <c r="B1391" s="602"/>
      <c r="C1391" s="228"/>
      <c r="D1391" s="275" t="s">
        <v>450</v>
      </c>
      <c r="E1391" s="240"/>
      <c r="F1391" s="239"/>
      <c r="G1391" s="281" t="s">
        <v>456</v>
      </c>
    </row>
    <row r="1392" spans="1:7" x14ac:dyDescent="0.3">
      <c r="A1392" s="241"/>
      <c r="B1392" s="240"/>
      <c r="C1392" s="228"/>
      <c r="D1392" s="275"/>
      <c r="E1392" s="278" t="s">
        <v>469</v>
      </c>
      <c r="F1392" s="239"/>
      <c r="G1392" s="232"/>
    </row>
    <row r="1393" spans="1:7" x14ac:dyDescent="0.3">
      <c r="A1393" s="606" t="s">
        <v>465</v>
      </c>
      <c r="B1393" s="602"/>
      <c r="C1393" s="228"/>
      <c r="D1393" s="275" t="s">
        <v>457</v>
      </c>
      <c r="E1393" s="235"/>
      <c r="F1393" s="239"/>
      <c r="G1393" s="281" t="s">
        <v>468</v>
      </c>
    </row>
    <row r="1394" spans="1:7" x14ac:dyDescent="0.3">
      <c r="A1394" s="606" t="s">
        <v>466</v>
      </c>
      <c r="B1394" s="602"/>
      <c r="C1394" s="228"/>
      <c r="D1394" s="275" t="s">
        <v>457</v>
      </c>
      <c r="E1394" s="235"/>
      <c r="F1394" s="239"/>
      <c r="G1394" s="281" t="s">
        <v>468</v>
      </c>
    </row>
    <row r="1395" spans="1:7" x14ac:dyDescent="0.3">
      <c r="A1395" s="606" t="s">
        <v>467</v>
      </c>
      <c r="B1395" s="602"/>
      <c r="C1395" s="228"/>
      <c r="D1395" s="275" t="s">
        <v>450</v>
      </c>
      <c r="E1395" s="235"/>
      <c r="F1395" s="239"/>
      <c r="G1395" s="281" t="s">
        <v>468</v>
      </c>
    </row>
    <row r="1396" spans="1:7" x14ac:dyDescent="0.3">
      <c r="A1396" s="241"/>
      <c r="B1396" s="235"/>
      <c r="C1396" s="228"/>
      <c r="D1396" s="229"/>
      <c r="E1396" s="279" t="s">
        <v>470</v>
      </c>
      <c r="F1396" s="239"/>
      <c r="G1396" s="232"/>
    </row>
    <row r="1397" spans="1:7" x14ac:dyDescent="0.3">
      <c r="A1397" s="606" t="s">
        <v>558</v>
      </c>
      <c r="B1397" s="602"/>
      <c r="C1397" s="228"/>
      <c r="D1397" s="229"/>
      <c r="E1397" s="235"/>
      <c r="F1397" s="239"/>
      <c r="G1397" s="232"/>
    </row>
    <row r="1398" spans="1:7" x14ac:dyDescent="0.3">
      <c r="A1398" s="606" t="s">
        <v>559</v>
      </c>
      <c r="B1398" s="602"/>
      <c r="C1398" s="228"/>
      <c r="D1398" s="229"/>
      <c r="E1398" s="235"/>
      <c r="F1398" s="239"/>
      <c r="G1398" s="232"/>
    </row>
    <row r="1399" spans="1:7" x14ac:dyDescent="0.3">
      <c r="A1399" s="606" t="s">
        <v>560</v>
      </c>
      <c r="B1399" s="602"/>
      <c r="C1399" s="228"/>
      <c r="D1399" s="229"/>
      <c r="E1399" s="235"/>
      <c r="F1399" s="239"/>
      <c r="G1399" s="232"/>
    </row>
    <row r="1400" spans="1:7" x14ac:dyDescent="0.3">
      <c r="A1400" s="665" t="s">
        <v>561</v>
      </c>
      <c r="B1400" s="602"/>
      <c r="C1400" s="228"/>
      <c r="D1400" s="229"/>
      <c r="E1400" s="235"/>
      <c r="F1400" s="239"/>
      <c r="G1400" s="232"/>
    </row>
    <row r="1401" spans="1:7" x14ac:dyDescent="0.3">
      <c r="A1401" s="666" t="s">
        <v>562</v>
      </c>
      <c r="B1401" s="608"/>
      <c r="C1401" s="228"/>
      <c r="D1401" s="229"/>
      <c r="E1401" s="235"/>
      <c r="F1401" s="239"/>
      <c r="G1401" s="232"/>
    </row>
    <row r="1402" spans="1:7" x14ac:dyDescent="0.3">
      <c r="A1402" s="665" t="s">
        <v>563</v>
      </c>
      <c r="B1402" s="602"/>
      <c r="C1402" s="228"/>
      <c r="D1402" s="229"/>
      <c r="E1402" s="235"/>
      <c r="F1402" s="239"/>
      <c r="G1402" s="232"/>
    </row>
    <row r="1403" spans="1:7" x14ac:dyDescent="0.3">
      <c r="A1403" s="665" t="s">
        <v>564</v>
      </c>
      <c r="B1403" s="602"/>
      <c r="C1403" s="228"/>
      <c r="D1403" s="229"/>
      <c r="E1403" s="235"/>
      <c r="F1403" s="239"/>
      <c r="G1403" s="232"/>
    </row>
    <row r="1404" spans="1:7" x14ac:dyDescent="0.3">
      <c r="A1404" s="665" t="s">
        <v>565</v>
      </c>
      <c r="B1404" s="602"/>
      <c r="C1404" s="228"/>
      <c r="D1404" s="229"/>
      <c r="E1404" s="235"/>
      <c r="F1404" s="239"/>
      <c r="G1404" s="232"/>
    </row>
    <row r="1405" spans="1:7" x14ac:dyDescent="0.3">
      <c r="A1405" s="665" t="s">
        <v>566</v>
      </c>
      <c r="B1405" s="602"/>
      <c r="C1405" s="228"/>
      <c r="D1405" s="229"/>
      <c r="E1405" s="235"/>
      <c r="F1405" s="239"/>
      <c r="G1405" s="232"/>
    </row>
    <row r="1406" spans="1:7" x14ac:dyDescent="0.3">
      <c r="A1406" s="665" t="s">
        <v>567</v>
      </c>
      <c r="B1406" s="602"/>
      <c r="C1406" s="228"/>
      <c r="D1406" s="229"/>
      <c r="E1406" s="235"/>
      <c r="F1406" s="239"/>
      <c r="G1406" s="232"/>
    </row>
    <row r="1407" spans="1:7" x14ac:dyDescent="0.3">
      <c r="A1407" s="1" t="s">
        <v>568</v>
      </c>
      <c r="B1407" s="8"/>
      <c r="C1407" s="228"/>
      <c r="D1407" s="229"/>
      <c r="E1407" s="235"/>
      <c r="F1407" s="239"/>
      <c r="G1407" s="232"/>
    </row>
    <row r="1408" spans="1:7" x14ac:dyDescent="0.3">
      <c r="A1408" s="606" t="s">
        <v>569</v>
      </c>
      <c r="B1408" s="603"/>
      <c r="C1408" s="228"/>
      <c r="D1408" s="229"/>
      <c r="E1408" s="235"/>
      <c r="F1408" s="239"/>
      <c r="G1408" s="232"/>
    </row>
    <row r="1409" spans="1:7" x14ac:dyDescent="0.3">
      <c r="A1409" s="1"/>
      <c r="B1409" s="8"/>
      <c r="C1409" s="228"/>
      <c r="D1409" s="229"/>
      <c r="E1409" s="235"/>
      <c r="F1409" s="239"/>
      <c r="G1409" s="232"/>
    </row>
    <row r="1410" spans="1:7" x14ac:dyDescent="0.3">
      <c r="A1410" s="1"/>
      <c r="B1410" s="8"/>
      <c r="C1410" s="228"/>
      <c r="D1410" s="229"/>
      <c r="E1410" s="235"/>
      <c r="F1410" s="239"/>
      <c r="G1410" s="232"/>
    </row>
    <row r="1411" spans="1:7" x14ac:dyDescent="0.3">
      <c r="A1411" s="248" t="s">
        <v>9</v>
      </c>
      <c r="B1411" s="249"/>
      <c r="C1411" s="266" t="s">
        <v>212</v>
      </c>
      <c r="D1411" s="250"/>
      <c r="E1411" s="250"/>
      <c r="F1411" s="251"/>
      <c r="G1411" s="252"/>
    </row>
    <row r="1412" spans="1:7" x14ac:dyDescent="0.3">
      <c r="A1412" s="226" t="s">
        <v>308</v>
      </c>
      <c r="B1412" s="235"/>
      <c r="C1412" s="228"/>
      <c r="D1412" s="229"/>
      <c r="E1412" s="230"/>
      <c r="F1412" s="231"/>
      <c r="G1412" s="232" t="s">
        <v>42</v>
      </c>
    </row>
    <row r="1413" spans="1:7" x14ac:dyDescent="0.3">
      <c r="A1413" s="237"/>
      <c r="B1413" s="230"/>
      <c r="C1413" s="228"/>
      <c r="D1413" s="230"/>
      <c r="E1413" s="230"/>
      <c r="F1413" s="231"/>
      <c r="G1413" s="232"/>
    </row>
    <row r="1414" spans="1:7" x14ac:dyDescent="0.3">
      <c r="A1414" s="604" t="s">
        <v>472</v>
      </c>
      <c r="B1414" s="605"/>
      <c r="C1414" s="228"/>
      <c r="D1414" s="230"/>
      <c r="E1414" s="230"/>
      <c r="F1414" s="231"/>
      <c r="G1414" s="232"/>
    </row>
    <row r="1415" spans="1:7" x14ac:dyDescent="0.3">
      <c r="A1415" s="237"/>
      <c r="B1415" s="230"/>
      <c r="C1415" s="228"/>
      <c r="D1415" s="230"/>
      <c r="E1415" s="230"/>
      <c r="F1415" s="231"/>
      <c r="G1415" s="232"/>
    </row>
    <row r="1416" spans="1:7" ht="15" thickBot="1" x14ac:dyDescent="0.35">
      <c r="A1416" s="253"/>
      <c r="B1416" s="254"/>
      <c r="C1416" s="255"/>
      <c r="D1416" s="254"/>
      <c r="E1416" s="254"/>
      <c r="F1416" s="256"/>
      <c r="G1416" s="257"/>
    </row>
    <row r="1429" spans="1:7" ht="28.8" x14ac:dyDescent="0.3">
      <c r="A1429" s="596" t="s">
        <v>635</v>
      </c>
      <c r="B1429" s="596"/>
      <c r="C1429" s="596"/>
      <c r="D1429" s="596"/>
      <c r="E1429" s="596"/>
      <c r="F1429" s="596"/>
      <c r="G1429" s="596"/>
    </row>
    <row r="1430" spans="1:7" ht="28.8" x14ac:dyDescent="0.3">
      <c r="A1430" s="150"/>
      <c r="B1430" s="150"/>
      <c r="C1430" s="150"/>
      <c r="D1430" s="150"/>
      <c r="E1430" s="150"/>
      <c r="F1430" s="150"/>
      <c r="G1430" s="150"/>
    </row>
    <row r="1431" spans="1:7" ht="21.6" thickBot="1" x14ac:dyDescent="0.45">
      <c r="A1431" s="597" t="s">
        <v>630</v>
      </c>
      <c r="B1431" s="642"/>
      <c r="C1431" s="642"/>
      <c r="D1431" s="642"/>
      <c r="E1431" s="642"/>
      <c r="F1431" s="642"/>
      <c r="G1431" s="642"/>
    </row>
    <row r="1432" spans="1:7" ht="18.600000000000001" thickBot="1" x14ac:dyDescent="0.35">
      <c r="A1432" s="360" t="s">
        <v>235</v>
      </c>
      <c r="B1432" s="361" t="s">
        <v>34</v>
      </c>
      <c r="C1432" s="361" t="s">
        <v>1</v>
      </c>
      <c r="D1432" s="623" t="s">
        <v>4</v>
      </c>
      <c r="E1432" s="624"/>
      <c r="F1432" s="361" t="s">
        <v>2</v>
      </c>
      <c r="G1432" s="362" t="s">
        <v>3</v>
      </c>
    </row>
    <row r="1433" spans="1:7" ht="15" thickBot="1" x14ac:dyDescent="0.35">
      <c r="A1433" s="219" t="s">
        <v>237</v>
      </c>
      <c r="B1433" s="162"/>
      <c r="C1433" s="472" t="s">
        <v>208</v>
      </c>
      <c r="D1433" s="62"/>
      <c r="E1433" s="62"/>
      <c r="F1433" s="63"/>
      <c r="G1433" s="64"/>
    </row>
    <row r="1434" spans="1:7" ht="15" customHeight="1" thickBot="1" x14ac:dyDescent="0.35">
      <c r="A1434" s="473" t="s">
        <v>247</v>
      </c>
      <c r="B1434" s="491" t="s">
        <v>248</v>
      </c>
      <c r="C1434" s="474" t="s">
        <v>636</v>
      </c>
      <c r="D1434" s="619" t="s">
        <v>637</v>
      </c>
      <c r="E1434" s="620"/>
      <c r="F1434" s="475">
        <v>45723</v>
      </c>
      <c r="G1434" s="476"/>
    </row>
    <row r="1435" spans="1:7" ht="15" thickBot="1" x14ac:dyDescent="0.35">
      <c r="A1435" s="175" t="s">
        <v>228</v>
      </c>
      <c r="B1435" s="69" t="s">
        <v>234</v>
      </c>
      <c r="C1435" s="477" t="s">
        <v>638</v>
      </c>
      <c r="D1435" s="621" t="s">
        <v>639</v>
      </c>
      <c r="E1435" s="622"/>
      <c r="F1435" s="475">
        <v>45721</v>
      </c>
      <c r="G1435" s="192"/>
    </row>
    <row r="1436" spans="1:7" ht="14.4" customHeight="1" thickBot="1" x14ac:dyDescent="0.35">
      <c r="A1436" s="175" t="s">
        <v>640</v>
      </c>
      <c r="B1436" s="69" t="s">
        <v>641</v>
      </c>
      <c r="C1436" s="478"/>
      <c r="D1436" s="590" t="s">
        <v>642</v>
      </c>
      <c r="E1436" s="591"/>
      <c r="F1436" s="475">
        <v>45733</v>
      </c>
      <c r="G1436" s="192" t="s">
        <v>643</v>
      </c>
    </row>
    <row r="1437" spans="1:7" ht="14.4" customHeight="1" x14ac:dyDescent="0.3">
      <c r="A1437" s="175" t="s">
        <v>644</v>
      </c>
      <c r="B1437" s="69" t="s">
        <v>645</v>
      </c>
      <c r="C1437" s="478"/>
      <c r="D1437" s="590" t="s">
        <v>646</v>
      </c>
      <c r="E1437" s="591"/>
      <c r="F1437" s="475">
        <v>45720</v>
      </c>
      <c r="G1437" s="223"/>
    </row>
    <row r="1438" spans="1:7" ht="28.8" x14ac:dyDescent="0.3">
      <c r="A1438" s="471" t="s">
        <v>332</v>
      </c>
      <c r="B1438" s="125" t="s">
        <v>350</v>
      </c>
      <c r="C1438" s="478" t="s">
        <v>664</v>
      </c>
      <c r="D1438" s="590" t="s">
        <v>663</v>
      </c>
      <c r="E1438" s="591"/>
      <c r="F1438" s="479"/>
      <c r="G1438" s="480" t="s">
        <v>552</v>
      </c>
    </row>
    <row r="1439" spans="1:7" x14ac:dyDescent="0.3">
      <c r="A1439" s="290" t="s">
        <v>348</v>
      </c>
      <c r="B1439" s="81" t="e">
        <f>#REF!</f>
        <v>#REF!</v>
      </c>
      <c r="C1439" s="478"/>
      <c r="D1439" s="618"/>
      <c r="E1439" s="618"/>
      <c r="F1439" s="479"/>
      <c r="G1439" s="481"/>
    </row>
    <row r="1440" spans="1:7" ht="14.4" customHeight="1" x14ac:dyDescent="0.3">
      <c r="A1440" s="285" t="s">
        <v>478</v>
      </c>
      <c r="B1440" s="296" t="s">
        <v>417</v>
      </c>
      <c r="C1440" s="482"/>
      <c r="D1440" s="609" t="s">
        <v>262</v>
      </c>
      <c r="E1440" s="609"/>
      <c r="F1440" s="298"/>
      <c r="G1440" s="339" t="s">
        <v>551</v>
      </c>
    </row>
    <row r="1441" spans="1:7" ht="43.2" x14ac:dyDescent="0.3">
      <c r="A1441" s="285" t="s">
        <v>518</v>
      </c>
      <c r="B1441" s="125" t="s">
        <v>519</v>
      </c>
      <c r="C1441" s="482"/>
      <c r="D1441" s="609" t="s">
        <v>647</v>
      </c>
      <c r="E1441" s="609"/>
      <c r="F1441" s="479">
        <v>45720</v>
      </c>
      <c r="G1441" s="330" t="s">
        <v>648</v>
      </c>
    </row>
    <row r="1442" spans="1:7" ht="28.8" x14ac:dyDescent="0.3">
      <c r="A1442" s="427" t="s">
        <v>521</v>
      </c>
      <c r="B1442" s="125" t="s">
        <v>522</v>
      </c>
      <c r="C1442" s="478" t="s">
        <v>649</v>
      </c>
      <c r="D1442" s="647" t="s">
        <v>650</v>
      </c>
      <c r="E1442" s="647"/>
      <c r="F1442" s="479">
        <v>45721</v>
      </c>
      <c r="G1442" s="322" t="s">
        <v>651</v>
      </c>
    </row>
    <row r="1443" spans="1:7" x14ac:dyDescent="0.3">
      <c r="A1443" s="285" t="s">
        <v>542</v>
      </c>
      <c r="B1443" s="69" t="s">
        <v>543</v>
      </c>
      <c r="C1443" s="482"/>
      <c r="D1443" s="609" t="s">
        <v>652</v>
      </c>
      <c r="E1443" s="609"/>
      <c r="F1443" s="479">
        <v>45721</v>
      </c>
      <c r="G1443" s="299" t="s">
        <v>653</v>
      </c>
    </row>
    <row r="1444" spans="1:7" ht="28.8" x14ac:dyDescent="0.3">
      <c r="A1444" s="483" t="s">
        <v>654</v>
      </c>
      <c r="B1444" s="478" t="s">
        <v>655</v>
      </c>
      <c r="C1444" s="478" t="s">
        <v>636</v>
      </c>
      <c r="D1444" s="647" t="s">
        <v>656</v>
      </c>
      <c r="E1444" s="647"/>
      <c r="F1444" s="484">
        <v>45723</v>
      </c>
      <c r="G1444" s="485"/>
    </row>
    <row r="1445" spans="1:7" ht="28.8" x14ac:dyDescent="0.3">
      <c r="A1445" s="483" t="s">
        <v>657</v>
      </c>
      <c r="B1445" s="478" t="s">
        <v>658</v>
      </c>
      <c r="C1445" s="478" t="s">
        <v>659</v>
      </c>
      <c r="D1445" s="667" t="s">
        <v>660</v>
      </c>
      <c r="E1445" s="667"/>
      <c r="F1445" s="484">
        <v>45747</v>
      </c>
      <c r="G1445" s="485"/>
    </row>
    <row r="1446" spans="1:7" x14ac:dyDescent="0.3">
      <c r="A1446" s="486" t="s">
        <v>661</v>
      </c>
      <c r="B1446" s="59"/>
      <c r="C1446" s="487"/>
      <c r="D1446" s="488"/>
      <c r="E1446" s="488"/>
      <c r="F1446" s="489"/>
      <c r="G1446" s="490"/>
    </row>
    <row r="1447" spans="1:7" ht="15" thickBot="1" x14ac:dyDescent="0.35">
      <c r="A1447" s="332"/>
      <c r="B1447" s="333"/>
      <c r="C1447" s="334"/>
      <c r="D1447" s="335"/>
      <c r="E1447" s="336"/>
      <c r="F1447" s="337"/>
      <c r="G1447" s="207"/>
    </row>
    <row r="1448" spans="1:7" ht="14.4" customHeight="1" x14ac:dyDescent="0.3">
      <c r="A1448" s="65" t="s">
        <v>238</v>
      </c>
      <c r="B1448" s="164"/>
      <c r="C1448" s="321" t="s">
        <v>211</v>
      </c>
      <c r="D1448" s="66"/>
      <c r="E1448" s="66"/>
      <c r="F1448" s="67"/>
      <c r="G1448" s="68"/>
    </row>
    <row r="1449" spans="1:7" ht="14.4" customHeight="1" x14ac:dyDescent="0.3">
      <c r="A1449" s="288" t="s">
        <v>527</v>
      </c>
      <c r="B1449" s="174" t="s">
        <v>524</v>
      </c>
      <c r="C1449" s="194"/>
      <c r="D1449" s="197"/>
      <c r="E1449" s="198"/>
      <c r="F1449" s="70"/>
      <c r="G1449" s="101" t="s">
        <v>582</v>
      </c>
    </row>
    <row r="1450" spans="1:7" ht="14.4" customHeight="1" x14ac:dyDescent="0.3">
      <c r="A1450" s="290" t="s">
        <v>428</v>
      </c>
      <c r="B1450" s="125"/>
      <c r="C1450" s="194"/>
      <c r="D1450" s="283"/>
      <c r="E1450" s="283"/>
      <c r="F1450" s="69"/>
      <c r="G1450" s="101" t="s">
        <v>582</v>
      </c>
    </row>
    <row r="1451" spans="1:7" x14ac:dyDescent="0.3">
      <c r="A1451" s="290" t="s">
        <v>581</v>
      </c>
      <c r="B1451" s="125"/>
      <c r="C1451" s="194"/>
      <c r="D1451" s="283"/>
      <c r="E1451" s="283"/>
      <c r="F1451" s="69"/>
      <c r="G1451" s="101" t="s">
        <v>582</v>
      </c>
    </row>
    <row r="1452" spans="1:7" ht="28.8" customHeight="1" x14ac:dyDescent="0.3">
      <c r="A1452" s="318" t="s">
        <v>244</v>
      </c>
      <c r="B1452" s="296" t="e">
        <f>#REF!</f>
        <v>#REF!</v>
      </c>
      <c r="C1452" s="297"/>
      <c r="D1452" s="592" t="s">
        <v>631</v>
      </c>
      <c r="E1452" s="593"/>
      <c r="F1452" s="412"/>
      <c r="G1452" s="319" t="s">
        <v>632</v>
      </c>
    </row>
    <row r="1453" spans="1:7" ht="43.2" customHeight="1" x14ac:dyDescent="0.3">
      <c r="A1453" s="318" t="s">
        <v>245</v>
      </c>
      <c r="B1453" s="296" t="e">
        <f>#REF!</f>
        <v>#REF!</v>
      </c>
      <c r="C1453" s="297"/>
      <c r="D1453" s="592" t="s">
        <v>633</v>
      </c>
      <c r="E1453" s="593"/>
      <c r="F1453" s="412"/>
      <c r="G1453" s="319" t="s">
        <v>662</v>
      </c>
    </row>
    <row r="1454" spans="1:7" ht="28.8" x14ac:dyDescent="0.3">
      <c r="A1454" s="416" t="s">
        <v>521</v>
      </c>
      <c r="B1454" s="264" t="s">
        <v>522</v>
      </c>
      <c r="C1454" s="409"/>
      <c r="D1454" s="616"/>
      <c r="E1454" s="617"/>
      <c r="F1454" s="412"/>
      <c r="G1454" s="330" t="s">
        <v>628</v>
      </c>
    </row>
    <row r="1455" spans="1:7" ht="28.8" x14ac:dyDescent="0.3">
      <c r="A1455" s="285" t="s">
        <v>542</v>
      </c>
      <c r="B1455" s="69" t="s">
        <v>543</v>
      </c>
      <c r="C1455" s="297"/>
      <c r="D1455" s="627" t="s">
        <v>634</v>
      </c>
      <c r="E1455" s="628"/>
      <c r="F1455" s="412"/>
      <c r="G1455" s="459" t="s">
        <v>629</v>
      </c>
    </row>
    <row r="1456" spans="1:7" x14ac:dyDescent="0.3">
      <c r="A1456" s="285"/>
      <c r="B1456" s="69"/>
      <c r="C1456" s="297"/>
      <c r="D1456" s="469"/>
      <c r="E1456" s="470"/>
      <c r="F1456" s="412"/>
      <c r="G1456" s="459"/>
    </row>
    <row r="1457" spans="1:7" x14ac:dyDescent="0.3">
      <c r="A1457" s="285" t="s">
        <v>246</v>
      </c>
      <c r="B1457" s="137"/>
      <c r="C1457" s="194"/>
      <c r="D1457" s="282"/>
      <c r="E1457" s="69"/>
      <c r="F1457" s="70">
        <v>45719</v>
      </c>
      <c r="G1457" s="291" t="s">
        <v>42</v>
      </c>
    </row>
    <row r="1458" spans="1:7" ht="31.2" customHeight="1" thickBot="1" x14ac:dyDescent="0.35">
      <c r="A1458" s="188"/>
      <c r="B1458" s="189"/>
      <c r="C1458" s="23"/>
      <c r="D1458" s="190"/>
      <c r="E1458" s="4"/>
      <c r="F1458" s="7"/>
      <c r="G1458" s="5"/>
    </row>
    <row r="1459" spans="1:7" x14ac:dyDescent="0.3">
      <c r="A1459" s="60" t="s">
        <v>236</v>
      </c>
      <c r="B1459" s="162"/>
      <c r="C1459" s="61" t="s">
        <v>239</v>
      </c>
      <c r="D1459" s="492" t="s">
        <v>665</v>
      </c>
      <c r="E1459" s="62"/>
      <c r="F1459" s="63"/>
      <c r="G1459" s="64"/>
    </row>
    <row r="1460" spans="1:7" x14ac:dyDescent="0.3">
      <c r="A1460" s="455" t="s">
        <v>502</v>
      </c>
      <c r="B1460" s="305"/>
      <c r="C1460" s="306"/>
      <c r="D1460" s="661" t="s">
        <v>619</v>
      </c>
      <c r="E1460" s="662"/>
      <c r="F1460" s="308"/>
      <c r="G1460" s="451" t="s">
        <v>620</v>
      </c>
    </row>
    <row r="1461" spans="1:7" x14ac:dyDescent="0.3">
      <c r="A1461" s="267" t="s">
        <v>270</v>
      </c>
      <c r="B1461" s="141"/>
      <c r="C1461" s="263"/>
      <c r="D1461" s="614" t="s">
        <v>532</v>
      </c>
      <c r="E1461" s="615"/>
      <c r="F1461" s="265"/>
      <c r="G1461" s="269" t="s">
        <v>621</v>
      </c>
    </row>
    <row r="1462" spans="1:7" ht="28.8" x14ac:dyDescent="0.3">
      <c r="A1462" s="267" t="s">
        <v>534</v>
      </c>
      <c r="B1462" s="141"/>
      <c r="C1462" s="263"/>
      <c r="D1462" s="263" t="s">
        <v>281</v>
      </c>
      <c r="E1462" s="590" t="s">
        <v>282</v>
      </c>
      <c r="F1462" s="591"/>
      <c r="G1462" s="268" t="s">
        <v>622</v>
      </c>
    </row>
    <row r="1463" spans="1:7" ht="70.8" customHeight="1" x14ac:dyDescent="0.3">
      <c r="A1463" s="267" t="s">
        <v>424</v>
      </c>
      <c r="B1463" s="141"/>
      <c r="C1463" s="610" t="s">
        <v>473</v>
      </c>
      <c r="D1463" s="611"/>
      <c r="E1463" s="265" t="s">
        <v>440</v>
      </c>
      <c r="F1463" s="265"/>
      <c r="G1463" s="268" t="s">
        <v>623</v>
      </c>
    </row>
    <row r="1464" spans="1:7" x14ac:dyDescent="0.3">
      <c r="A1464" s="318" t="s">
        <v>332</v>
      </c>
      <c r="B1464" s="296" t="s">
        <v>350</v>
      </c>
      <c r="C1464" s="296"/>
      <c r="D1464" s="668" t="s">
        <v>624</v>
      </c>
      <c r="E1464" s="668"/>
      <c r="F1464" s="296"/>
      <c r="G1464" s="296" t="s">
        <v>625</v>
      </c>
    </row>
    <row r="1465" spans="1:7" ht="28.8" x14ac:dyDescent="0.3">
      <c r="A1465" s="285" t="s">
        <v>521</v>
      </c>
      <c r="B1465" s="296"/>
      <c r="C1465" s="296"/>
      <c r="D1465" s="194"/>
      <c r="E1465" s="194"/>
      <c r="F1465" s="296"/>
      <c r="G1465" s="482" t="s">
        <v>626</v>
      </c>
    </row>
    <row r="1466" spans="1:7" x14ac:dyDescent="0.3">
      <c r="A1466" s="454"/>
      <c r="B1466" s="452"/>
      <c r="C1466" s="452"/>
      <c r="D1466" s="453"/>
      <c r="E1466" s="453"/>
      <c r="F1466" s="452"/>
      <c r="G1466" s="457"/>
    </row>
    <row r="1467" spans="1:7" ht="14.4" customHeight="1" x14ac:dyDescent="0.3">
      <c r="A1467" s="606" t="s">
        <v>452</v>
      </c>
      <c r="B1467" s="602"/>
      <c r="C1467" s="228"/>
      <c r="D1467" s="229" t="s">
        <v>450</v>
      </c>
      <c r="E1467" s="238"/>
      <c r="F1467" s="239"/>
      <c r="G1467" s="280" t="s">
        <v>454</v>
      </c>
    </row>
    <row r="1468" spans="1:7" ht="76.8" customHeight="1" x14ac:dyDescent="0.3">
      <c r="A1468" s="606" t="s">
        <v>451</v>
      </c>
      <c r="B1468" s="602"/>
      <c r="C1468" s="228"/>
      <c r="D1468" s="229" t="s">
        <v>450</v>
      </c>
      <c r="E1468" s="238"/>
      <c r="F1468" s="239"/>
      <c r="G1468" s="280" t="s">
        <v>454</v>
      </c>
    </row>
    <row r="1469" spans="1:7" ht="14.4" customHeight="1" x14ac:dyDescent="0.3">
      <c r="A1469" s="606" t="s">
        <v>453</v>
      </c>
      <c r="B1469" s="602"/>
      <c r="C1469" s="228"/>
      <c r="D1469" s="229" t="s">
        <v>450</v>
      </c>
      <c r="E1469" s="238"/>
      <c r="F1469" s="239"/>
      <c r="G1469" s="280" t="s">
        <v>454</v>
      </c>
    </row>
    <row r="1470" spans="1:7" x14ac:dyDescent="0.3">
      <c r="A1470" s="241"/>
      <c r="B1470" s="240"/>
      <c r="C1470" s="228"/>
      <c r="D1470" s="229"/>
      <c r="E1470" s="238"/>
      <c r="F1470" s="239"/>
      <c r="G1470" s="232"/>
    </row>
    <row r="1471" spans="1:7" ht="14.4" customHeight="1" x14ac:dyDescent="0.3">
      <c r="A1471" s="606" t="s">
        <v>455</v>
      </c>
      <c r="B1471" s="602"/>
      <c r="C1471" s="228"/>
      <c r="D1471" s="275" t="s">
        <v>457</v>
      </c>
      <c r="E1471" s="240"/>
      <c r="F1471" s="239"/>
      <c r="G1471" s="281" t="s">
        <v>456</v>
      </c>
    </row>
    <row r="1472" spans="1:7" ht="14.4" customHeight="1" x14ac:dyDescent="0.3">
      <c r="A1472" s="606" t="s">
        <v>458</v>
      </c>
      <c r="B1472" s="602"/>
      <c r="C1472" s="228"/>
      <c r="D1472" s="275" t="s">
        <v>450</v>
      </c>
      <c r="E1472" s="240"/>
      <c r="F1472" s="239"/>
      <c r="G1472" s="281" t="s">
        <v>456</v>
      </c>
    </row>
    <row r="1473" spans="1:7" ht="14.4" customHeight="1" x14ac:dyDescent="0.3">
      <c r="A1473" s="606" t="s">
        <v>459</v>
      </c>
      <c r="B1473" s="602"/>
      <c r="C1473" s="228"/>
      <c r="D1473" s="275" t="s">
        <v>450</v>
      </c>
      <c r="E1473" s="240"/>
      <c r="F1473" s="239"/>
      <c r="G1473" s="281" t="s">
        <v>456</v>
      </c>
    </row>
    <row r="1474" spans="1:7" ht="14.4" customHeight="1" x14ac:dyDescent="0.3">
      <c r="A1474" s="606" t="s">
        <v>460</v>
      </c>
      <c r="B1474" s="602"/>
      <c r="C1474" s="228"/>
      <c r="D1474" s="275" t="s">
        <v>450</v>
      </c>
      <c r="E1474" s="240"/>
      <c r="F1474" s="239"/>
      <c r="G1474" s="281" t="s">
        <v>456</v>
      </c>
    </row>
    <row r="1475" spans="1:7" ht="14.4" customHeight="1" x14ac:dyDescent="0.3">
      <c r="A1475" s="606" t="s">
        <v>461</v>
      </c>
      <c r="B1475" s="602"/>
      <c r="C1475" s="228"/>
      <c r="D1475" s="275" t="s">
        <v>457</v>
      </c>
      <c r="E1475" s="240"/>
      <c r="F1475" s="239"/>
      <c r="G1475" s="281" t="s">
        <v>456</v>
      </c>
    </row>
    <row r="1476" spans="1:7" ht="14.4" customHeight="1" x14ac:dyDescent="0.3">
      <c r="A1476" s="606" t="s">
        <v>462</v>
      </c>
      <c r="B1476" s="602"/>
      <c r="C1476" s="228"/>
      <c r="D1476" s="275" t="s">
        <v>450</v>
      </c>
      <c r="E1476" s="240"/>
      <c r="F1476" s="239"/>
      <c r="G1476" s="281" t="s">
        <v>456</v>
      </c>
    </row>
    <row r="1477" spans="1:7" ht="14.4" customHeight="1" x14ac:dyDescent="0.3">
      <c r="A1477" s="606" t="s">
        <v>463</v>
      </c>
      <c r="B1477" s="602"/>
      <c r="C1477" s="228"/>
      <c r="D1477" s="275" t="s">
        <v>450</v>
      </c>
      <c r="E1477" s="240"/>
      <c r="F1477" s="239"/>
      <c r="G1477" s="281" t="s">
        <v>456</v>
      </c>
    </row>
    <row r="1478" spans="1:7" ht="14.4" customHeight="1" x14ac:dyDescent="0.3">
      <c r="A1478" s="606" t="s">
        <v>464</v>
      </c>
      <c r="B1478" s="602"/>
      <c r="C1478" s="228"/>
      <c r="D1478" s="275" t="s">
        <v>450</v>
      </c>
      <c r="E1478" s="240"/>
      <c r="F1478" s="239"/>
      <c r="G1478" s="281" t="s">
        <v>456</v>
      </c>
    </row>
    <row r="1479" spans="1:7" ht="14.4" customHeight="1" x14ac:dyDescent="0.3">
      <c r="A1479" s="241"/>
      <c r="B1479" s="240"/>
      <c r="C1479" s="228"/>
      <c r="D1479" s="275"/>
      <c r="E1479" s="278" t="s">
        <v>469</v>
      </c>
      <c r="F1479" s="239"/>
      <c r="G1479" s="232"/>
    </row>
    <row r="1480" spans="1:7" ht="14.4" customHeight="1" x14ac:dyDescent="0.3">
      <c r="A1480" s="606" t="s">
        <v>465</v>
      </c>
      <c r="B1480" s="602"/>
      <c r="C1480" s="228"/>
      <c r="D1480" s="275" t="s">
        <v>457</v>
      </c>
      <c r="E1480" s="235"/>
      <c r="F1480" s="239"/>
      <c r="G1480" s="281" t="s">
        <v>468</v>
      </c>
    </row>
    <row r="1481" spans="1:7" ht="14.4" customHeight="1" x14ac:dyDescent="0.3">
      <c r="A1481" s="606" t="s">
        <v>466</v>
      </c>
      <c r="B1481" s="602"/>
      <c r="C1481" s="228"/>
      <c r="D1481" s="275" t="s">
        <v>457</v>
      </c>
      <c r="E1481" s="235"/>
      <c r="F1481" s="239"/>
      <c r="G1481" s="281" t="s">
        <v>468</v>
      </c>
    </row>
    <row r="1482" spans="1:7" ht="14.4" customHeight="1" x14ac:dyDescent="0.3">
      <c r="A1482" s="606" t="s">
        <v>467</v>
      </c>
      <c r="B1482" s="602"/>
      <c r="C1482" s="228"/>
      <c r="D1482" s="275" t="s">
        <v>450</v>
      </c>
      <c r="E1482" s="235"/>
      <c r="F1482" s="239"/>
      <c r="G1482" s="281" t="s">
        <v>468</v>
      </c>
    </row>
    <row r="1483" spans="1:7" ht="14.4" customHeight="1" x14ac:dyDescent="0.3">
      <c r="A1483" s="241"/>
      <c r="B1483" s="235"/>
      <c r="C1483" s="228"/>
      <c r="D1483" s="229"/>
      <c r="E1483" s="279" t="s">
        <v>470</v>
      </c>
      <c r="F1483" s="239"/>
      <c r="G1483" s="232"/>
    </row>
    <row r="1484" spans="1:7" ht="14.4" customHeight="1" x14ac:dyDescent="0.3">
      <c r="A1484" s="606" t="s">
        <v>558</v>
      </c>
      <c r="B1484" s="602"/>
      <c r="C1484" s="228"/>
      <c r="D1484" s="229"/>
      <c r="E1484" s="235"/>
      <c r="F1484" s="239"/>
      <c r="G1484" s="232"/>
    </row>
    <row r="1485" spans="1:7" ht="14.4" customHeight="1" x14ac:dyDescent="0.3">
      <c r="A1485" s="606" t="s">
        <v>559</v>
      </c>
      <c r="B1485" s="602"/>
      <c r="C1485" s="228"/>
      <c r="D1485" s="229"/>
      <c r="E1485" s="235"/>
      <c r="F1485" s="239"/>
      <c r="G1485" s="232"/>
    </row>
    <row r="1486" spans="1:7" ht="14.4" customHeight="1" x14ac:dyDescent="0.3">
      <c r="A1486" s="606" t="s">
        <v>560</v>
      </c>
      <c r="B1486" s="602"/>
      <c r="C1486" s="228"/>
      <c r="D1486" s="229"/>
      <c r="E1486" s="235"/>
      <c r="F1486" s="239"/>
      <c r="G1486" s="232"/>
    </row>
    <row r="1487" spans="1:7" x14ac:dyDescent="0.3">
      <c r="A1487" s="665" t="s">
        <v>561</v>
      </c>
      <c r="B1487" s="602"/>
      <c r="C1487" s="228"/>
      <c r="D1487" s="229"/>
      <c r="E1487" s="235"/>
      <c r="F1487" s="239"/>
      <c r="G1487" s="232"/>
    </row>
    <row r="1488" spans="1:7" x14ac:dyDescent="0.3">
      <c r="A1488" s="666" t="s">
        <v>562</v>
      </c>
      <c r="B1488" s="608"/>
      <c r="C1488" s="228"/>
      <c r="D1488" s="229"/>
      <c r="E1488" s="235"/>
      <c r="F1488" s="239"/>
      <c r="G1488" s="232"/>
    </row>
    <row r="1489" spans="1:7" ht="14.4" customHeight="1" x14ac:dyDescent="0.3">
      <c r="A1489" s="665" t="s">
        <v>563</v>
      </c>
      <c r="B1489" s="602"/>
      <c r="C1489" s="228"/>
      <c r="D1489" s="229"/>
      <c r="E1489" s="235"/>
      <c r="F1489" s="239"/>
      <c r="G1489" s="232"/>
    </row>
    <row r="1490" spans="1:7" ht="14.4" customHeight="1" x14ac:dyDescent="0.3">
      <c r="A1490" s="665" t="s">
        <v>564</v>
      </c>
      <c r="B1490" s="602"/>
      <c r="C1490" s="228"/>
      <c r="D1490" s="229"/>
      <c r="E1490" s="235"/>
      <c r="F1490" s="239"/>
      <c r="G1490" s="232"/>
    </row>
    <row r="1491" spans="1:7" ht="14.4" customHeight="1" x14ac:dyDescent="0.3">
      <c r="A1491" s="665" t="s">
        <v>565</v>
      </c>
      <c r="B1491" s="602"/>
      <c r="C1491" s="228"/>
      <c r="D1491" s="229"/>
      <c r="E1491" s="235"/>
      <c r="F1491" s="239"/>
      <c r="G1491" s="232"/>
    </row>
    <row r="1492" spans="1:7" ht="14.4" customHeight="1" x14ac:dyDescent="0.3">
      <c r="A1492" s="665" t="s">
        <v>566</v>
      </c>
      <c r="B1492" s="602"/>
      <c r="C1492" s="228"/>
      <c r="D1492" s="229"/>
      <c r="E1492" s="235"/>
      <c r="F1492" s="239"/>
      <c r="G1492" s="232"/>
    </row>
    <row r="1493" spans="1:7" ht="14.4" customHeight="1" x14ac:dyDescent="0.3">
      <c r="A1493" s="665" t="s">
        <v>567</v>
      </c>
      <c r="B1493" s="602"/>
      <c r="C1493" s="228"/>
      <c r="D1493" s="229"/>
      <c r="E1493" s="235"/>
      <c r="F1493" s="239"/>
      <c r="G1493" s="232"/>
    </row>
    <row r="1494" spans="1:7" ht="14.4" customHeight="1" x14ac:dyDescent="0.3">
      <c r="A1494" s="1" t="s">
        <v>568</v>
      </c>
      <c r="B1494" s="8"/>
      <c r="C1494" s="228"/>
      <c r="D1494" s="229"/>
      <c r="E1494" s="235"/>
      <c r="F1494" s="239"/>
      <c r="G1494" s="232"/>
    </row>
    <row r="1495" spans="1:7" ht="14.4" customHeight="1" x14ac:dyDescent="0.3">
      <c r="A1495" s="606" t="s">
        <v>569</v>
      </c>
      <c r="B1495" s="603"/>
      <c r="C1495" s="228"/>
      <c r="D1495" s="229"/>
      <c r="E1495" s="235"/>
      <c r="F1495" s="239"/>
      <c r="G1495" s="232"/>
    </row>
    <row r="1496" spans="1:7" ht="14.4" customHeight="1" x14ac:dyDescent="0.3">
      <c r="A1496" s="1"/>
      <c r="B1496" s="8"/>
      <c r="C1496" s="228"/>
      <c r="D1496" s="229"/>
      <c r="E1496" s="235"/>
      <c r="F1496" s="239"/>
      <c r="G1496" s="232"/>
    </row>
    <row r="1497" spans="1:7" ht="14.4" customHeight="1" x14ac:dyDescent="0.3">
      <c r="A1497" s="1"/>
      <c r="B1497" s="8"/>
      <c r="C1497" s="228"/>
      <c r="D1497" s="229"/>
      <c r="E1497" s="235"/>
      <c r="F1497" s="239"/>
      <c r="G1497" s="232"/>
    </row>
    <row r="1498" spans="1:7" ht="14.4" customHeight="1" x14ac:dyDescent="0.3">
      <c r="A1498" s="248" t="s">
        <v>9</v>
      </c>
      <c r="B1498" s="249"/>
      <c r="C1498" s="266" t="s">
        <v>666</v>
      </c>
      <c r="D1498" s="250"/>
      <c r="E1498" s="250"/>
      <c r="F1498" s="251"/>
      <c r="G1498" s="252"/>
    </row>
    <row r="1499" spans="1:7" x14ac:dyDescent="0.3">
      <c r="A1499" s="226" t="s">
        <v>308</v>
      </c>
      <c r="B1499" s="235"/>
      <c r="C1499" s="228"/>
      <c r="D1499" s="229"/>
      <c r="E1499" s="230"/>
      <c r="F1499" s="231"/>
      <c r="G1499" s="232" t="s">
        <v>42</v>
      </c>
    </row>
    <row r="1500" spans="1:7" ht="14.4" customHeight="1" x14ac:dyDescent="0.3">
      <c r="A1500" s="237"/>
      <c r="B1500" s="230"/>
      <c r="C1500" s="228"/>
      <c r="D1500" s="230"/>
      <c r="E1500" s="230"/>
      <c r="F1500" s="231"/>
      <c r="G1500" s="232"/>
    </row>
    <row r="1501" spans="1:7" x14ac:dyDescent="0.3">
      <c r="A1501" s="237"/>
      <c r="B1501" s="230"/>
      <c r="C1501" s="228"/>
      <c r="D1501" s="230"/>
      <c r="E1501" s="230"/>
      <c r="F1501" s="231"/>
      <c r="G1501" s="232"/>
    </row>
    <row r="1502" spans="1:7" ht="15" thickBot="1" x14ac:dyDescent="0.35">
      <c r="A1502" s="253"/>
      <c r="B1502" s="254"/>
      <c r="C1502" s="255"/>
      <c r="D1502" s="254"/>
      <c r="E1502" s="254"/>
      <c r="F1502" s="256"/>
      <c r="G1502" s="257"/>
    </row>
    <row r="1505" spans="1:7" ht="21.6" thickBot="1" x14ac:dyDescent="0.45">
      <c r="A1505" s="597" t="s">
        <v>667</v>
      </c>
      <c r="B1505" s="642"/>
      <c r="C1505" s="642"/>
      <c r="D1505" s="642"/>
      <c r="E1505" s="642"/>
      <c r="F1505" s="642"/>
      <c r="G1505" s="642"/>
    </row>
    <row r="1506" spans="1:7" ht="18.600000000000001" thickBot="1" x14ac:dyDescent="0.35">
      <c r="A1506" s="360" t="s">
        <v>235</v>
      </c>
      <c r="B1506" s="361" t="s">
        <v>34</v>
      </c>
      <c r="C1506" s="361" t="s">
        <v>1</v>
      </c>
      <c r="D1506" s="623" t="s">
        <v>4</v>
      </c>
      <c r="E1506" s="624"/>
      <c r="F1506" s="361" t="s">
        <v>2</v>
      </c>
      <c r="G1506" s="362" t="s">
        <v>3</v>
      </c>
    </row>
    <row r="1507" spans="1:7" ht="15" thickBot="1" x14ac:dyDescent="0.35">
      <c r="A1507" s="219" t="s">
        <v>237</v>
      </c>
      <c r="B1507" s="162"/>
      <c r="C1507" s="472" t="s">
        <v>208</v>
      </c>
      <c r="D1507" s="62"/>
      <c r="E1507" s="62"/>
      <c r="F1507" s="63"/>
      <c r="G1507" s="64"/>
    </row>
    <row r="1508" spans="1:7" ht="15" thickBot="1" x14ac:dyDescent="0.35">
      <c r="A1508" s="473" t="s">
        <v>247</v>
      </c>
      <c r="B1508" s="491" t="s">
        <v>248</v>
      </c>
      <c r="C1508" s="474" t="s">
        <v>636</v>
      </c>
      <c r="D1508" s="619" t="s">
        <v>637</v>
      </c>
      <c r="E1508" s="620"/>
      <c r="F1508" s="475">
        <v>45751</v>
      </c>
      <c r="G1508" s="476"/>
    </row>
    <row r="1509" spans="1:7" ht="15" thickBot="1" x14ac:dyDescent="0.35">
      <c r="A1509" s="175" t="s">
        <v>228</v>
      </c>
      <c r="B1509" s="69" t="s">
        <v>234</v>
      </c>
      <c r="C1509" s="477" t="s">
        <v>638</v>
      </c>
      <c r="D1509" s="621" t="s">
        <v>668</v>
      </c>
      <c r="E1509" s="622"/>
      <c r="F1509" s="475">
        <v>45752</v>
      </c>
      <c r="G1509" s="192"/>
    </row>
    <row r="1510" spans="1:7" ht="15" thickBot="1" x14ac:dyDescent="0.35">
      <c r="A1510" s="175" t="s">
        <v>640</v>
      </c>
      <c r="B1510" s="69" t="s">
        <v>641</v>
      </c>
      <c r="C1510" s="478"/>
      <c r="D1510" s="590" t="s">
        <v>642</v>
      </c>
      <c r="E1510" s="591"/>
      <c r="F1510" s="475">
        <v>45733</v>
      </c>
      <c r="G1510" s="192" t="s">
        <v>643</v>
      </c>
    </row>
    <row r="1511" spans="1:7" x14ac:dyDescent="0.3">
      <c r="A1511" s="175" t="s">
        <v>644</v>
      </c>
      <c r="B1511" s="69" t="s">
        <v>669</v>
      </c>
      <c r="C1511" s="478"/>
      <c r="D1511" s="590"/>
      <c r="E1511" s="591"/>
      <c r="F1511" s="475">
        <v>45720</v>
      </c>
      <c r="G1511" s="192" t="s">
        <v>670</v>
      </c>
    </row>
    <row r="1512" spans="1:7" ht="28.8" x14ac:dyDescent="0.3">
      <c r="A1512" s="471" t="s">
        <v>332</v>
      </c>
      <c r="B1512" s="125" t="s">
        <v>350</v>
      </c>
      <c r="C1512" s="478"/>
      <c r="D1512" s="590"/>
      <c r="E1512" s="591"/>
      <c r="F1512" s="479"/>
      <c r="G1512" s="480" t="s">
        <v>552</v>
      </c>
    </row>
    <row r="1513" spans="1:7" ht="28.8" x14ac:dyDescent="0.3">
      <c r="A1513" s="290" t="s">
        <v>348</v>
      </c>
      <c r="B1513" s="81" t="e">
        <f>#REF!</f>
        <v>#REF!</v>
      </c>
      <c r="C1513" s="478"/>
      <c r="D1513" s="618"/>
      <c r="E1513" s="618"/>
      <c r="F1513" s="479"/>
      <c r="G1513" s="481" t="s">
        <v>515</v>
      </c>
    </row>
    <row r="1514" spans="1:7" ht="28.8" x14ac:dyDescent="0.3">
      <c r="A1514" s="285" t="s">
        <v>478</v>
      </c>
      <c r="B1514" s="296" t="s">
        <v>417</v>
      </c>
      <c r="C1514" s="482"/>
      <c r="D1514" s="609" t="s">
        <v>262</v>
      </c>
      <c r="E1514" s="609"/>
      <c r="F1514" s="298"/>
      <c r="G1514" s="339" t="s">
        <v>551</v>
      </c>
    </row>
    <row r="1515" spans="1:7" x14ac:dyDescent="0.3">
      <c r="A1515" s="427" t="s">
        <v>491</v>
      </c>
      <c r="B1515" s="125" t="s">
        <v>516</v>
      </c>
      <c r="C1515" s="482"/>
      <c r="D1515" s="609"/>
      <c r="E1515" s="609"/>
      <c r="F1515" s="298"/>
      <c r="G1515" s="330"/>
    </row>
    <row r="1516" spans="1:7" ht="43.2" x14ac:dyDescent="0.3">
      <c r="A1516" s="285" t="s">
        <v>518</v>
      </c>
      <c r="B1516" s="125" t="s">
        <v>519</v>
      </c>
      <c r="C1516" s="482"/>
      <c r="D1516" s="609" t="s">
        <v>647</v>
      </c>
      <c r="E1516" s="609"/>
      <c r="F1516" s="479">
        <v>45720</v>
      </c>
      <c r="G1516" s="330" t="s">
        <v>648</v>
      </c>
    </row>
    <row r="1517" spans="1:7" ht="28.8" x14ac:dyDescent="0.3">
      <c r="A1517" s="427" t="s">
        <v>521</v>
      </c>
      <c r="B1517" s="125" t="s">
        <v>522</v>
      </c>
      <c r="C1517" s="478" t="s">
        <v>649</v>
      </c>
      <c r="D1517" s="647" t="s">
        <v>668</v>
      </c>
      <c r="E1517" s="647"/>
      <c r="F1517" s="479">
        <v>45751</v>
      </c>
      <c r="G1517" s="322" t="s">
        <v>651</v>
      </c>
    </row>
    <row r="1518" spans="1:7" x14ac:dyDescent="0.3">
      <c r="A1518" s="285" t="s">
        <v>542</v>
      </c>
      <c r="B1518" s="69" t="s">
        <v>543</v>
      </c>
      <c r="C1518" s="482"/>
      <c r="D1518" s="609" t="s">
        <v>652</v>
      </c>
      <c r="E1518" s="609"/>
      <c r="F1518" s="479">
        <v>45721</v>
      </c>
      <c r="G1518" s="299" t="s">
        <v>653</v>
      </c>
    </row>
    <row r="1519" spans="1:7" ht="28.8" x14ac:dyDescent="0.3">
      <c r="A1519" s="483" t="s">
        <v>654</v>
      </c>
      <c r="B1519" s="478" t="s">
        <v>655</v>
      </c>
      <c r="C1519" s="478" t="s">
        <v>636</v>
      </c>
      <c r="D1519" s="647" t="s">
        <v>671</v>
      </c>
      <c r="E1519" s="647"/>
      <c r="F1519" s="508">
        <v>45723</v>
      </c>
      <c r="G1519" s="485" t="s">
        <v>672</v>
      </c>
    </row>
    <row r="1520" spans="1:7" ht="28.8" x14ac:dyDescent="0.3">
      <c r="A1520" s="483" t="s">
        <v>657</v>
      </c>
      <c r="B1520" s="478" t="s">
        <v>658</v>
      </c>
      <c r="C1520" s="478" t="s">
        <v>659</v>
      </c>
      <c r="D1520" s="667" t="s">
        <v>660</v>
      </c>
      <c r="E1520" s="667"/>
      <c r="F1520" s="508">
        <v>45747</v>
      </c>
      <c r="G1520" s="485"/>
    </row>
    <row r="1521" spans="1:7" ht="28.8" x14ac:dyDescent="0.3">
      <c r="A1521" s="496" t="s">
        <v>661</v>
      </c>
      <c r="B1521" s="478" t="s">
        <v>673</v>
      </c>
      <c r="C1521" s="487"/>
      <c r="D1521" s="669"/>
      <c r="E1521" s="670"/>
      <c r="F1521" s="509"/>
      <c r="G1521" s="497" t="s">
        <v>674</v>
      </c>
    </row>
    <row r="1522" spans="1:7" x14ac:dyDescent="0.3">
      <c r="A1522" s="486" t="s">
        <v>675</v>
      </c>
      <c r="B1522" s="498" t="s">
        <v>676</v>
      </c>
      <c r="C1522" s="499" t="s">
        <v>638</v>
      </c>
      <c r="D1522" s="627" t="s">
        <v>677</v>
      </c>
      <c r="E1522" s="628"/>
      <c r="F1522" s="508">
        <v>45755</v>
      </c>
      <c r="G1522" s="500"/>
    </row>
    <row r="1523" spans="1:7" ht="28.8" x14ac:dyDescent="0.3">
      <c r="A1523" s="486" t="s">
        <v>678</v>
      </c>
      <c r="B1523" s="495" t="s">
        <v>679</v>
      </c>
      <c r="C1523" s="478" t="s">
        <v>649</v>
      </c>
      <c r="D1523" s="669"/>
      <c r="E1523" s="670"/>
      <c r="F1523" s="489"/>
      <c r="G1523" s="497" t="s">
        <v>680</v>
      </c>
    </row>
    <row r="1524" spans="1:7" x14ac:dyDescent="0.3">
      <c r="A1524" s="486" t="s">
        <v>681</v>
      </c>
      <c r="B1524" s="495" t="s">
        <v>682</v>
      </c>
      <c r="C1524" s="487"/>
      <c r="D1524" s="669"/>
      <c r="E1524" s="670"/>
      <c r="F1524" s="489"/>
      <c r="G1524" s="500"/>
    </row>
    <row r="1525" spans="1:7" ht="15" thickBot="1" x14ac:dyDescent="0.35">
      <c r="A1525" s="332"/>
      <c r="B1525" s="333"/>
      <c r="C1525" s="334"/>
      <c r="D1525" s="335"/>
      <c r="E1525" s="336"/>
      <c r="F1525" s="337"/>
      <c r="G1525" s="207"/>
    </row>
    <row r="1526" spans="1:7" ht="15" thickBot="1" x14ac:dyDescent="0.35">
      <c r="A1526" s="65" t="s">
        <v>238</v>
      </c>
      <c r="B1526" s="164"/>
      <c r="C1526" s="321" t="s">
        <v>211</v>
      </c>
      <c r="D1526" s="66"/>
      <c r="E1526" s="66"/>
      <c r="F1526" s="67"/>
      <c r="G1526" s="68"/>
    </row>
    <row r="1527" spans="1:7" x14ac:dyDescent="0.3">
      <c r="A1527" s="501" t="s">
        <v>527</v>
      </c>
      <c r="B1527" s="324" t="s">
        <v>524</v>
      </c>
      <c r="C1527" s="502"/>
      <c r="D1527" s="493"/>
      <c r="E1527" s="494"/>
      <c r="F1527" s="326"/>
      <c r="G1527" s="142" t="s">
        <v>582</v>
      </c>
    </row>
    <row r="1528" spans="1:7" x14ac:dyDescent="0.3">
      <c r="A1528" s="290" t="s">
        <v>428</v>
      </c>
      <c r="B1528" s="125"/>
      <c r="C1528" s="194"/>
      <c r="D1528" s="283"/>
      <c r="E1528" s="283"/>
      <c r="F1528" s="69"/>
      <c r="G1528" s="101" t="s">
        <v>582</v>
      </c>
    </row>
    <row r="1529" spans="1:7" x14ac:dyDescent="0.3">
      <c r="A1529" s="290" t="s">
        <v>581</v>
      </c>
      <c r="B1529" s="125"/>
      <c r="C1529" s="194"/>
      <c r="D1529" s="283"/>
      <c r="E1529" s="283"/>
      <c r="F1529" s="69"/>
      <c r="G1529" s="101" t="s">
        <v>582</v>
      </c>
    </row>
    <row r="1530" spans="1:7" ht="28.8" x14ac:dyDescent="0.3">
      <c r="A1530" s="318" t="s">
        <v>244</v>
      </c>
      <c r="B1530" s="296" t="e">
        <f>#REF!</f>
        <v>#REF!</v>
      </c>
      <c r="C1530" s="297"/>
      <c r="D1530" s="592" t="s">
        <v>683</v>
      </c>
      <c r="E1530" s="593"/>
      <c r="F1530" s="412">
        <v>45689</v>
      </c>
      <c r="G1530" s="413" t="s">
        <v>684</v>
      </c>
    </row>
    <row r="1531" spans="1:7" ht="43.2" x14ac:dyDescent="0.3">
      <c r="A1531" s="318" t="s">
        <v>245</v>
      </c>
      <c r="B1531" s="296" t="e">
        <f>#REF!</f>
        <v>#REF!</v>
      </c>
      <c r="C1531" s="297"/>
      <c r="D1531" s="592" t="s">
        <v>685</v>
      </c>
      <c r="E1531" s="593"/>
      <c r="F1531" s="412"/>
      <c r="G1531" s="413" t="s">
        <v>686</v>
      </c>
    </row>
    <row r="1532" spans="1:7" x14ac:dyDescent="0.3">
      <c r="A1532" s="175" t="s">
        <v>228</v>
      </c>
      <c r="B1532" s="69" t="s">
        <v>234</v>
      </c>
      <c r="C1532" s="297"/>
      <c r="D1532" s="503" t="s">
        <v>687</v>
      </c>
      <c r="E1532" s="470"/>
      <c r="F1532" s="412" t="s">
        <v>42</v>
      </c>
      <c r="G1532" s="459"/>
    </row>
    <row r="1533" spans="1:7" ht="28.8" x14ac:dyDescent="0.3">
      <c r="A1533" s="416" t="s">
        <v>521</v>
      </c>
      <c r="B1533" s="264" t="s">
        <v>522</v>
      </c>
      <c r="C1533" s="409"/>
      <c r="D1533" s="592"/>
      <c r="E1533" s="593"/>
      <c r="F1533" s="412"/>
      <c r="G1533" s="418" t="s">
        <v>628</v>
      </c>
    </row>
    <row r="1534" spans="1:7" ht="28.8" x14ac:dyDescent="0.3">
      <c r="A1534" s="285" t="s">
        <v>542</v>
      </c>
      <c r="B1534" s="69" t="s">
        <v>543</v>
      </c>
      <c r="C1534" s="297"/>
      <c r="D1534" s="627"/>
      <c r="E1534" s="628"/>
      <c r="F1534" s="412"/>
      <c r="G1534" s="504" t="s">
        <v>629</v>
      </c>
    </row>
    <row r="1535" spans="1:7" x14ac:dyDescent="0.3">
      <c r="A1535" s="175" t="s">
        <v>694</v>
      </c>
      <c r="B1535" s="69"/>
      <c r="C1535" s="297"/>
      <c r="D1535" s="505"/>
      <c r="E1535" s="506"/>
      <c r="F1535" s="412"/>
      <c r="G1535" s="504" t="s">
        <v>688</v>
      </c>
    </row>
    <row r="1536" spans="1:7" x14ac:dyDescent="0.3">
      <c r="A1536" s="285" t="s">
        <v>695</v>
      </c>
      <c r="B1536" s="69"/>
      <c r="C1536" s="297"/>
      <c r="D1536" s="469" t="s">
        <v>689</v>
      </c>
      <c r="E1536" s="470" t="s">
        <v>693</v>
      </c>
      <c r="F1536" s="412"/>
      <c r="G1536" s="507" t="s">
        <v>690</v>
      </c>
    </row>
    <row r="1537" spans="1:7" ht="28.2" customHeight="1" x14ac:dyDescent="0.3">
      <c r="A1537" s="285" t="s">
        <v>691</v>
      </c>
      <c r="B1537" s="69"/>
      <c r="C1537" s="297"/>
      <c r="D1537" s="616" t="s">
        <v>692</v>
      </c>
      <c r="E1537" s="617"/>
      <c r="F1537" s="412">
        <v>45750</v>
      </c>
      <c r="G1537" s="459"/>
    </row>
    <row r="1538" spans="1:7" x14ac:dyDescent="0.3">
      <c r="A1538" s="285"/>
      <c r="B1538" s="69"/>
      <c r="C1538" s="297"/>
      <c r="D1538" s="469"/>
      <c r="E1538" s="470"/>
      <c r="F1538" s="412"/>
      <c r="G1538" s="459"/>
    </row>
    <row r="1539" spans="1:7" x14ac:dyDescent="0.3">
      <c r="A1539" s="285"/>
      <c r="B1539" s="69"/>
      <c r="C1539" s="297"/>
      <c r="D1539" s="469"/>
      <c r="E1539" s="470"/>
      <c r="F1539" s="412"/>
      <c r="G1539" s="459"/>
    </row>
    <row r="1540" spans="1:7" x14ac:dyDescent="0.3">
      <c r="A1540" s="285" t="s">
        <v>246</v>
      </c>
      <c r="B1540" s="137"/>
      <c r="C1540" s="194"/>
      <c r="D1540" s="282"/>
      <c r="E1540" s="69"/>
      <c r="F1540" s="70">
        <v>45750</v>
      </c>
      <c r="G1540" s="291" t="s">
        <v>42</v>
      </c>
    </row>
    <row r="1541" spans="1:7" x14ac:dyDescent="0.3">
      <c r="A1541" s="47"/>
      <c r="B1541" s="163"/>
      <c r="C1541" s="22"/>
      <c r="D1541" s="48"/>
      <c r="F1541" s="6"/>
      <c r="G1541" s="2"/>
    </row>
    <row r="1542" spans="1:7" ht="15" thickBot="1" x14ac:dyDescent="0.35">
      <c r="A1542" s="188"/>
      <c r="B1542" s="189"/>
      <c r="C1542" s="23"/>
      <c r="D1542" s="190"/>
      <c r="E1542" s="4"/>
      <c r="F1542" s="7"/>
      <c r="G1542" s="5"/>
    </row>
    <row r="1543" spans="1:7" x14ac:dyDescent="0.3">
      <c r="A1543" s="60" t="s">
        <v>236</v>
      </c>
      <c r="B1543" s="162"/>
      <c r="C1543" s="61" t="s">
        <v>239</v>
      </c>
      <c r="D1543" s="492" t="s">
        <v>665</v>
      </c>
      <c r="E1543" s="62"/>
      <c r="F1543" s="63"/>
      <c r="G1543" s="64"/>
    </row>
    <row r="1544" spans="1:7" x14ac:dyDescent="0.3">
      <c r="A1544" s="455" t="s">
        <v>502</v>
      </c>
      <c r="B1544" s="305"/>
      <c r="C1544" s="306"/>
      <c r="D1544" s="661" t="s">
        <v>619</v>
      </c>
      <c r="E1544" s="662"/>
      <c r="F1544" s="308"/>
      <c r="G1544" s="451" t="s">
        <v>620</v>
      </c>
    </row>
    <row r="1545" spans="1:7" x14ac:dyDescent="0.3">
      <c r="A1545" s="267" t="s">
        <v>270</v>
      </c>
      <c r="B1545" s="141"/>
      <c r="C1545" s="263"/>
      <c r="D1545" s="614" t="s">
        <v>532</v>
      </c>
      <c r="E1545" s="615"/>
      <c r="F1545" s="265"/>
      <c r="G1545" s="269" t="s">
        <v>621</v>
      </c>
    </row>
    <row r="1546" spans="1:7" ht="28.8" x14ac:dyDescent="0.3">
      <c r="A1546" s="267" t="s">
        <v>534</v>
      </c>
      <c r="B1546" s="141"/>
      <c r="C1546" s="263"/>
      <c r="D1546" s="263" t="s">
        <v>281</v>
      </c>
      <c r="E1546" s="590" t="s">
        <v>282</v>
      </c>
      <c r="F1546" s="591"/>
      <c r="G1546" s="268" t="s">
        <v>622</v>
      </c>
    </row>
    <row r="1547" spans="1:7" ht="28.8" x14ac:dyDescent="0.3">
      <c r="A1547" s="267" t="s">
        <v>424</v>
      </c>
      <c r="B1547" s="141"/>
      <c r="C1547" s="610" t="s">
        <v>473</v>
      </c>
      <c r="D1547" s="611"/>
      <c r="E1547" s="265" t="s">
        <v>440</v>
      </c>
      <c r="F1547" s="265"/>
      <c r="G1547" s="268" t="s">
        <v>623</v>
      </c>
    </row>
    <row r="1548" spans="1:7" x14ac:dyDescent="0.3">
      <c r="A1548" s="318" t="s">
        <v>332</v>
      </c>
      <c r="B1548" s="301" t="s">
        <v>350</v>
      </c>
      <c r="C1548" s="318"/>
      <c r="D1548" s="663" t="s">
        <v>624</v>
      </c>
      <c r="E1548" s="664"/>
      <c r="F1548" s="318"/>
      <c r="G1548" s="456" t="s">
        <v>625</v>
      </c>
    </row>
    <row r="1549" spans="1:7" ht="28.8" x14ac:dyDescent="0.3">
      <c r="A1549" s="285" t="s">
        <v>521</v>
      </c>
      <c r="B1549" s="452"/>
      <c r="C1549" s="452"/>
      <c r="D1549" s="453"/>
      <c r="E1549" s="453"/>
      <c r="F1549" s="452"/>
      <c r="G1549" s="457" t="s">
        <v>626</v>
      </c>
    </row>
    <row r="1550" spans="1:7" x14ac:dyDescent="0.3">
      <c r="A1550" s="454"/>
      <c r="B1550" s="452"/>
      <c r="C1550" s="452"/>
      <c r="D1550" s="453"/>
      <c r="E1550" s="453"/>
      <c r="F1550" s="452"/>
      <c r="G1550" s="457"/>
    </row>
    <row r="1551" spans="1:7" x14ac:dyDescent="0.3">
      <c r="A1551" s="606" t="s">
        <v>452</v>
      </c>
      <c r="B1551" s="602"/>
      <c r="C1551" s="228"/>
      <c r="D1551" s="229" t="s">
        <v>450</v>
      </c>
      <c r="E1551" s="238"/>
      <c r="F1551" s="239"/>
      <c r="G1551" s="280" t="s">
        <v>454</v>
      </c>
    </row>
    <row r="1552" spans="1:7" x14ac:dyDescent="0.3">
      <c r="A1552" s="606" t="s">
        <v>451</v>
      </c>
      <c r="B1552" s="602"/>
      <c r="C1552" s="228"/>
      <c r="D1552" s="229" t="s">
        <v>450</v>
      </c>
      <c r="E1552" s="238"/>
      <c r="F1552" s="239"/>
      <c r="G1552" s="280" t="s">
        <v>454</v>
      </c>
    </row>
    <row r="1553" spans="1:7" x14ac:dyDescent="0.3">
      <c r="A1553" s="606" t="s">
        <v>453</v>
      </c>
      <c r="B1553" s="602"/>
      <c r="C1553" s="228"/>
      <c r="D1553" s="229" t="s">
        <v>450</v>
      </c>
      <c r="E1553" s="238"/>
      <c r="F1553" s="239"/>
      <c r="G1553" s="280" t="s">
        <v>454</v>
      </c>
    </row>
    <row r="1554" spans="1:7" x14ac:dyDescent="0.3">
      <c r="A1554" s="241"/>
      <c r="B1554" s="240"/>
      <c r="C1554" s="228"/>
      <c r="D1554" s="229"/>
      <c r="E1554" s="238"/>
      <c r="F1554" s="239"/>
      <c r="G1554" s="232"/>
    </row>
    <row r="1555" spans="1:7" x14ac:dyDescent="0.3">
      <c r="A1555" s="606" t="s">
        <v>455</v>
      </c>
      <c r="B1555" s="602"/>
      <c r="C1555" s="228"/>
      <c r="D1555" s="275" t="s">
        <v>457</v>
      </c>
      <c r="E1555" s="240"/>
      <c r="F1555" s="239"/>
      <c r="G1555" s="281" t="s">
        <v>456</v>
      </c>
    </row>
    <row r="1556" spans="1:7" x14ac:dyDescent="0.3">
      <c r="A1556" s="606" t="s">
        <v>458</v>
      </c>
      <c r="B1556" s="602"/>
      <c r="C1556" s="228"/>
      <c r="D1556" s="275" t="s">
        <v>450</v>
      </c>
      <c r="E1556" s="240"/>
      <c r="F1556" s="239"/>
      <c r="G1556" s="281" t="s">
        <v>456</v>
      </c>
    </row>
    <row r="1557" spans="1:7" x14ac:dyDescent="0.3">
      <c r="A1557" s="606" t="s">
        <v>459</v>
      </c>
      <c r="B1557" s="602"/>
      <c r="C1557" s="228"/>
      <c r="D1557" s="275" t="s">
        <v>450</v>
      </c>
      <c r="E1557" s="240"/>
      <c r="F1557" s="239"/>
      <c r="G1557" s="281" t="s">
        <v>456</v>
      </c>
    </row>
    <row r="1558" spans="1:7" x14ac:dyDescent="0.3">
      <c r="A1558" s="606" t="s">
        <v>460</v>
      </c>
      <c r="B1558" s="602"/>
      <c r="C1558" s="228"/>
      <c r="D1558" s="275" t="s">
        <v>450</v>
      </c>
      <c r="E1558" s="240"/>
      <c r="F1558" s="239"/>
      <c r="G1558" s="281" t="s">
        <v>456</v>
      </c>
    </row>
    <row r="1559" spans="1:7" x14ac:dyDescent="0.3">
      <c r="A1559" s="606" t="s">
        <v>461</v>
      </c>
      <c r="B1559" s="602"/>
      <c r="C1559" s="228"/>
      <c r="D1559" s="275" t="s">
        <v>457</v>
      </c>
      <c r="E1559" s="240"/>
      <c r="F1559" s="239"/>
      <c r="G1559" s="281" t="s">
        <v>456</v>
      </c>
    </row>
    <row r="1560" spans="1:7" x14ac:dyDescent="0.3">
      <c r="A1560" s="606" t="s">
        <v>462</v>
      </c>
      <c r="B1560" s="602"/>
      <c r="C1560" s="228"/>
      <c r="D1560" s="275" t="s">
        <v>450</v>
      </c>
      <c r="E1560" s="240"/>
      <c r="F1560" s="239"/>
      <c r="G1560" s="281" t="s">
        <v>456</v>
      </c>
    </row>
    <row r="1561" spans="1:7" x14ac:dyDescent="0.3">
      <c r="A1561" s="606" t="s">
        <v>463</v>
      </c>
      <c r="B1561" s="602"/>
      <c r="C1561" s="228"/>
      <c r="D1561" s="275" t="s">
        <v>450</v>
      </c>
      <c r="E1561" s="240"/>
      <c r="F1561" s="239"/>
      <c r="G1561" s="281" t="s">
        <v>456</v>
      </c>
    </row>
    <row r="1562" spans="1:7" x14ac:dyDescent="0.3">
      <c r="A1562" s="606" t="s">
        <v>464</v>
      </c>
      <c r="B1562" s="602"/>
      <c r="C1562" s="228"/>
      <c r="D1562" s="275" t="s">
        <v>450</v>
      </c>
      <c r="E1562" s="240"/>
      <c r="F1562" s="239"/>
      <c r="G1562" s="281" t="s">
        <v>456</v>
      </c>
    </row>
    <row r="1563" spans="1:7" x14ac:dyDescent="0.3">
      <c r="A1563" s="241"/>
      <c r="B1563" s="240"/>
      <c r="C1563" s="228"/>
      <c r="D1563" s="275"/>
      <c r="E1563" s="278" t="s">
        <v>469</v>
      </c>
      <c r="F1563" s="239"/>
      <c r="G1563" s="232"/>
    </row>
    <row r="1564" spans="1:7" x14ac:dyDescent="0.3">
      <c r="A1564" s="606" t="s">
        <v>465</v>
      </c>
      <c r="B1564" s="602"/>
      <c r="C1564" s="228"/>
      <c r="D1564" s="275" t="s">
        <v>457</v>
      </c>
      <c r="E1564" s="235"/>
      <c r="F1564" s="239"/>
      <c r="G1564" s="281" t="s">
        <v>468</v>
      </c>
    </row>
    <row r="1565" spans="1:7" x14ac:dyDescent="0.3">
      <c r="A1565" s="606" t="s">
        <v>466</v>
      </c>
      <c r="B1565" s="602"/>
      <c r="C1565" s="228"/>
      <c r="D1565" s="275" t="s">
        <v>457</v>
      </c>
      <c r="E1565" s="235"/>
      <c r="F1565" s="239"/>
      <c r="G1565" s="281" t="s">
        <v>468</v>
      </c>
    </row>
    <row r="1566" spans="1:7" x14ac:dyDescent="0.3">
      <c r="A1566" s="606" t="s">
        <v>467</v>
      </c>
      <c r="B1566" s="602"/>
      <c r="C1566" s="228"/>
      <c r="D1566" s="275" t="s">
        <v>450</v>
      </c>
      <c r="E1566" s="235"/>
      <c r="F1566" s="239"/>
      <c r="G1566" s="281" t="s">
        <v>468</v>
      </c>
    </row>
    <row r="1567" spans="1:7" x14ac:dyDescent="0.3">
      <c r="A1567" s="241"/>
      <c r="B1567" s="235"/>
      <c r="C1567" s="228"/>
      <c r="D1567" s="229"/>
      <c r="E1567" s="279" t="s">
        <v>470</v>
      </c>
      <c r="F1567" s="239"/>
      <c r="G1567" s="232"/>
    </row>
    <row r="1568" spans="1:7" x14ac:dyDescent="0.3">
      <c r="A1568" s="606" t="s">
        <v>558</v>
      </c>
      <c r="B1568" s="602"/>
      <c r="C1568" s="228"/>
      <c r="D1568" s="229"/>
      <c r="E1568" s="235"/>
      <c r="F1568" s="239"/>
      <c r="G1568" s="232"/>
    </row>
    <row r="1569" spans="1:7" x14ac:dyDescent="0.3">
      <c r="A1569" s="606" t="s">
        <v>559</v>
      </c>
      <c r="B1569" s="602"/>
      <c r="C1569" s="228"/>
      <c r="D1569" s="229"/>
      <c r="E1569" s="235"/>
      <c r="F1569" s="239"/>
      <c r="G1569" s="232"/>
    </row>
    <row r="1570" spans="1:7" x14ac:dyDescent="0.3">
      <c r="A1570" s="606" t="s">
        <v>560</v>
      </c>
      <c r="B1570" s="602"/>
      <c r="C1570" s="228"/>
      <c r="D1570" s="229"/>
      <c r="E1570" s="235"/>
      <c r="F1570" s="239"/>
      <c r="G1570" s="232"/>
    </row>
    <row r="1571" spans="1:7" x14ac:dyDescent="0.3">
      <c r="A1571" s="665" t="s">
        <v>561</v>
      </c>
      <c r="B1571" s="602"/>
      <c r="C1571" s="228"/>
      <c r="D1571" s="229"/>
      <c r="E1571" s="235"/>
      <c r="F1571" s="239"/>
      <c r="G1571" s="232"/>
    </row>
    <row r="1572" spans="1:7" x14ac:dyDescent="0.3">
      <c r="A1572" s="666" t="s">
        <v>562</v>
      </c>
      <c r="B1572" s="608"/>
      <c r="C1572" s="228"/>
      <c r="D1572" s="229"/>
      <c r="E1572" s="235"/>
      <c r="F1572" s="239"/>
      <c r="G1572" s="232"/>
    </row>
    <row r="1573" spans="1:7" x14ac:dyDescent="0.3">
      <c r="A1573" s="665" t="s">
        <v>563</v>
      </c>
      <c r="B1573" s="602"/>
      <c r="C1573" s="228"/>
      <c r="D1573" s="229"/>
      <c r="E1573" s="235"/>
      <c r="F1573" s="239"/>
      <c r="G1573" s="232"/>
    </row>
    <row r="1574" spans="1:7" x14ac:dyDescent="0.3">
      <c r="A1574" s="665" t="s">
        <v>564</v>
      </c>
      <c r="B1574" s="602"/>
      <c r="C1574" s="228"/>
      <c r="D1574" s="229"/>
      <c r="E1574" s="235"/>
      <c r="F1574" s="239"/>
      <c r="G1574" s="232"/>
    </row>
    <row r="1575" spans="1:7" x14ac:dyDescent="0.3">
      <c r="A1575" s="665" t="s">
        <v>565</v>
      </c>
      <c r="B1575" s="602"/>
      <c r="C1575" s="228"/>
      <c r="D1575" s="229"/>
      <c r="E1575" s="235"/>
      <c r="F1575" s="239"/>
      <c r="G1575" s="232"/>
    </row>
    <row r="1576" spans="1:7" x14ac:dyDescent="0.3">
      <c r="A1576" s="665" t="s">
        <v>566</v>
      </c>
      <c r="B1576" s="602"/>
      <c r="C1576" s="228"/>
      <c r="D1576" s="229"/>
      <c r="E1576" s="235"/>
      <c r="F1576" s="239"/>
      <c r="G1576" s="232"/>
    </row>
    <row r="1577" spans="1:7" x14ac:dyDescent="0.3">
      <c r="A1577" s="665" t="s">
        <v>567</v>
      </c>
      <c r="B1577" s="602"/>
      <c r="C1577" s="228"/>
      <c r="D1577" s="229"/>
      <c r="E1577" s="235"/>
      <c r="F1577" s="239"/>
      <c r="G1577" s="232"/>
    </row>
    <row r="1578" spans="1:7" x14ac:dyDescent="0.3">
      <c r="A1578" s="1" t="s">
        <v>568</v>
      </c>
      <c r="B1578" s="8"/>
      <c r="C1578" s="228"/>
      <c r="D1578" s="229"/>
      <c r="E1578" s="235"/>
      <c r="F1578" s="239"/>
      <c r="G1578" s="232"/>
    </row>
    <row r="1579" spans="1:7" x14ac:dyDescent="0.3">
      <c r="A1579" s="606" t="s">
        <v>569</v>
      </c>
      <c r="B1579" s="603"/>
      <c r="C1579" s="228"/>
      <c r="D1579" s="229"/>
      <c r="E1579" s="235"/>
      <c r="F1579" s="239"/>
      <c r="G1579" s="232"/>
    </row>
    <row r="1580" spans="1:7" x14ac:dyDescent="0.3">
      <c r="A1580" s="1"/>
      <c r="B1580" s="8"/>
      <c r="C1580" s="228"/>
      <c r="D1580" s="229"/>
      <c r="E1580" s="235"/>
      <c r="F1580" s="239"/>
      <c r="G1580" s="232"/>
    </row>
    <row r="1581" spans="1:7" x14ac:dyDescent="0.3">
      <c r="A1581" s="1"/>
      <c r="B1581" s="8"/>
      <c r="C1581" s="228"/>
      <c r="D1581" s="229"/>
      <c r="E1581" s="235"/>
      <c r="F1581" s="239"/>
      <c r="G1581" s="232"/>
    </row>
    <row r="1582" spans="1:7" x14ac:dyDescent="0.3">
      <c r="A1582" s="248" t="s">
        <v>9</v>
      </c>
      <c r="B1582" s="249"/>
      <c r="C1582" s="266" t="s">
        <v>212</v>
      </c>
      <c r="D1582" s="250"/>
      <c r="E1582" s="250"/>
      <c r="F1582" s="251"/>
      <c r="G1582" s="252"/>
    </row>
    <row r="1583" spans="1:7" x14ac:dyDescent="0.3">
      <c r="A1583" s="226" t="s">
        <v>308</v>
      </c>
      <c r="B1583" s="235"/>
      <c r="C1583" s="228"/>
      <c r="D1583" s="229"/>
      <c r="E1583" s="230"/>
      <c r="F1583" s="231"/>
      <c r="G1583" s="232" t="s">
        <v>42</v>
      </c>
    </row>
    <row r="1584" spans="1:7" x14ac:dyDescent="0.3">
      <c r="A1584" s="237"/>
      <c r="B1584" s="230"/>
      <c r="C1584" s="228"/>
      <c r="D1584" s="230"/>
      <c r="E1584" s="230"/>
      <c r="F1584" s="231"/>
      <c r="G1584" s="232"/>
    </row>
    <row r="1585" spans="1:7" x14ac:dyDescent="0.3">
      <c r="A1585" s="604" t="s">
        <v>472</v>
      </c>
      <c r="B1585" s="605"/>
      <c r="C1585" s="228"/>
      <c r="D1585" s="230"/>
      <c r="E1585" s="230"/>
      <c r="F1585" s="231"/>
      <c r="G1585" s="232"/>
    </row>
    <row r="1586" spans="1:7" x14ac:dyDescent="0.3">
      <c r="A1586" s="237"/>
      <c r="B1586" s="230"/>
      <c r="C1586" s="228"/>
      <c r="D1586" s="230"/>
      <c r="E1586" s="230"/>
      <c r="F1586" s="231"/>
      <c r="G1586" s="232"/>
    </row>
    <row r="1587" spans="1:7" ht="15" thickBot="1" x14ac:dyDescent="0.35">
      <c r="A1587" s="253"/>
      <c r="B1587" s="254"/>
      <c r="C1587" s="255"/>
      <c r="D1587" s="254"/>
      <c r="E1587" s="254"/>
      <c r="F1587" s="256"/>
      <c r="G1587" s="257"/>
    </row>
  </sheetData>
  <mergeCells count="638">
    <mergeCell ref="A49:G49"/>
    <mergeCell ref="A93:G93"/>
    <mergeCell ref="A94:G94"/>
    <mergeCell ref="D97:E97"/>
    <mergeCell ref="A1571:B1571"/>
    <mergeCell ref="A1572:B1572"/>
    <mergeCell ref="A1573:B1573"/>
    <mergeCell ref="A1574:B1574"/>
    <mergeCell ref="A1575:B1575"/>
    <mergeCell ref="D1548:E1548"/>
    <mergeCell ref="A1551:B1551"/>
    <mergeCell ref="A1552:B1552"/>
    <mergeCell ref="A1553:B1553"/>
    <mergeCell ref="A1555:B1555"/>
    <mergeCell ref="A1556:B1556"/>
    <mergeCell ref="A1557:B1557"/>
    <mergeCell ref="A1558:B1558"/>
    <mergeCell ref="A1559:B1559"/>
    <mergeCell ref="D1524:E1524"/>
    <mergeCell ref="D1530:E1530"/>
    <mergeCell ref="D1531:E1531"/>
    <mergeCell ref="D1533:E1533"/>
    <mergeCell ref="D1534:E1534"/>
    <mergeCell ref="D1544:E1544"/>
    <mergeCell ref="A1576:B1576"/>
    <mergeCell ref="A1577:B1577"/>
    <mergeCell ref="A1579:B1579"/>
    <mergeCell ref="A1585:B1585"/>
    <mergeCell ref="A1560:B1560"/>
    <mergeCell ref="A1561:B1561"/>
    <mergeCell ref="A1562:B1562"/>
    <mergeCell ref="A1564:B1564"/>
    <mergeCell ref="A1565:B1565"/>
    <mergeCell ref="A1566:B1566"/>
    <mergeCell ref="A1568:B1568"/>
    <mergeCell ref="A1569:B1569"/>
    <mergeCell ref="A1570:B1570"/>
    <mergeCell ref="D1545:E1545"/>
    <mergeCell ref="E1546:F1546"/>
    <mergeCell ref="C1547:D1547"/>
    <mergeCell ref="D1537:E1537"/>
    <mergeCell ref="D1515:E1515"/>
    <mergeCell ref="D1516:E1516"/>
    <mergeCell ref="D1517:E1517"/>
    <mergeCell ref="D1518:E1518"/>
    <mergeCell ref="D1519:E1519"/>
    <mergeCell ref="D1520:E1520"/>
    <mergeCell ref="D1521:E1521"/>
    <mergeCell ref="D1522:E1522"/>
    <mergeCell ref="D1523:E1523"/>
    <mergeCell ref="A1505:G1505"/>
    <mergeCell ref="D1506:E1506"/>
    <mergeCell ref="D1508:E1508"/>
    <mergeCell ref="D1509:E1509"/>
    <mergeCell ref="D1510:E1510"/>
    <mergeCell ref="D1511:E1511"/>
    <mergeCell ref="D1512:E1512"/>
    <mergeCell ref="D1513:E1513"/>
    <mergeCell ref="D1514:E1514"/>
    <mergeCell ref="A1495:B1495"/>
    <mergeCell ref="D1460:E1460"/>
    <mergeCell ref="A1485:B1485"/>
    <mergeCell ref="A1486:B1486"/>
    <mergeCell ref="A1487:B1487"/>
    <mergeCell ref="A1489:B1489"/>
    <mergeCell ref="A1490:B1490"/>
    <mergeCell ref="A1491:B1491"/>
    <mergeCell ref="A1492:B1492"/>
    <mergeCell ref="A1493:B1493"/>
    <mergeCell ref="A1474:B1474"/>
    <mergeCell ref="A1476:B1476"/>
    <mergeCell ref="A1477:B1477"/>
    <mergeCell ref="A1478:B1478"/>
    <mergeCell ref="A1480:B1480"/>
    <mergeCell ref="A1484:B1484"/>
    <mergeCell ref="A1488:B1488"/>
    <mergeCell ref="D1441:E1441"/>
    <mergeCell ref="D1442:E1442"/>
    <mergeCell ref="D1443:E1443"/>
    <mergeCell ref="D1444:E1444"/>
    <mergeCell ref="D1445:E1445"/>
    <mergeCell ref="A1481:B1481"/>
    <mergeCell ref="A1482:B1482"/>
    <mergeCell ref="A1472:B1472"/>
    <mergeCell ref="A1473:B1473"/>
    <mergeCell ref="D1452:E1452"/>
    <mergeCell ref="D1453:E1453"/>
    <mergeCell ref="D1454:E1454"/>
    <mergeCell ref="D1455:E1455"/>
    <mergeCell ref="D1461:E1461"/>
    <mergeCell ref="E1462:F1462"/>
    <mergeCell ref="C1463:D1463"/>
    <mergeCell ref="D1464:E1464"/>
    <mergeCell ref="A1467:B1467"/>
    <mergeCell ref="A1468:B1468"/>
    <mergeCell ref="A1469:B1469"/>
    <mergeCell ref="A1471:B1471"/>
    <mergeCell ref="A1475:B1475"/>
    <mergeCell ref="A1429:G1429"/>
    <mergeCell ref="A1431:G1431"/>
    <mergeCell ref="D1432:E1432"/>
    <mergeCell ref="D1434:E1434"/>
    <mergeCell ref="D1436:E1436"/>
    <mergeCell ref="D1437:E1437"/>
    <mergeCell ref="D1438:E1438"/>
    <mergeCell ref="D1439:E1439"/>
    <mergeCell ref="D1440:E1440"/>
    <mergeCell ref="D1435:E1435"/>
    <mergeCell ref="A1403:B1403"/>
    <mergeCell ref="A1404:B1404"/>
    <mergeCell ref="A1405:B1405"/>
    <mergeCell ref="A1406:B1406"/>
    <mergeCell ref="A1408:B1408"/>
    <mergeCell ref="A1414:B1414"/>
    <mergeCell ref="A1393:B1393"/>
    <mergeCell ref="A1394:B1394"/>
    <mergeCell ref="A1395:B1395"/>
    <mergeCell ref="A1397:B1397"/>
    <mergeCell ref="A1398:B1398"/>
    <mergeCell ref="A1399:B1399"/>
    <mergeCell ref="A1400:B1400"/>
    <mergeCell ref="A1401:B1401"/>
    <mergeCell ref="A1402:B1402"/>
    <mergeCell ref="A1382:B1382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D1357:E1357"/>
    <mergeCell ref="D1358:E1358"/>
    <mergeCell ref="D1365:E1365"/>
    <mergeCell ref="D1367:E1367"/>
    <mergeCell ref="D1373:E1373"/>
    <mergeCell ref="C1376:D1376"/>
    <mergeCell ref="D1377:E1377"/>
    <mergeCell ref="A1380:B1380"/>
    <mergeCell ref="A1381:B1381"/>
    <mergeCell ref="D1348:E1348"/>
    <mergeCell ref="D1349:E1349"/>
    <mergeCell ref="D1350:E1350"/>
    <mergeCell ref="D1351:E1351"/>
    <mergeCell ref="D1352:E1352"/>
    <mergeCell ref="D1353:E1353"/>
    <mergeCell ref="D1354:E1354"/>
    <mergeCell ref="D1355:E1355"/>
    <mergeCell ref="D1356:E1356"/>
    <mergeCell ref="A1336:G1336"/>
    <mergeCell ref="A1338:G1338"/>
    <mergeCell ref="D1339:E1339"/>
    <mergeCell ref="D1341:E1341"/>
    <mergeCell ref="D1343:E1343"/>
    <mergeCell ref="D1344:E1344"/>
    <mergeCell ref="D1345:E1345"/>
    <mergeCell ref="D1346:E1346"/>
    <mergeCell ref="D1347:E1347"/>
    <mergeCell ref="A1325:B1325"/>
    <mergeCell ref="A1331:B1331"/>
    <mergeCell ref="A1303:B1303"/>
    <mergeCell ref="A1304:B1304"/>
    <mergeCell ref="A1305:B1305"/>
    <mergeCell ref="A1306:B1306"/>
    <mergeCell ref="A1307:B1307"/>
    <mergeCell ref="A1308:B1308"/>
    <mergeCell ref="A1311:B1311"/>
    <mergeCell ref="A1322:B1322"/>
    <mergeCell ref="A1310:B1310"/>
    <mergeCell ref="A1323:B1323"/>
    <mergeCell ref="A1312:B1312"/>
    <mergeCell ref="A1315:B1315"/>
    <mergeCell ref="A1316:B1316"/>
    <mergeCell ref="A1317:B1317"/>
    <mergeCell ref="A1318:B1318"/>
    <mergeCell ref="A1319:B1319"/>
    <mergeCell ref="A1320:B1320"/>
    <mergeCell ref="A1321:B1321"/>
    <mergeCell ref="A1314:B1314"/>
    <mergeCell ref="D1274:E1274"/>
    <mergeCell ref="D1275:E1275"/>
    <mergeCell ref="D1282:E1282"/>
    <mergeCell ref="D1284:E1284"/>
    <mergeCell ref="C1293:D1293"/>
    <mergeCell ref="A1298:B1298"/>
    <mergeCell ref="A1299:B1299"/>
    <mergeCell ref="A1302:B1302"/>
    <mergeCell ref="D1290:E1290"/>
    <mergeCell ref="D1294:E1294"/>
    <mergeCell ref="A1297:B1297"/>
    <mergeCell ref="A1301:B1301"/>
    <mergeCell ref="D1265:E1265"/>
    <mergeCell ref="D1266:E1266"/>
    <mergeCell ref="D1267:E1267"/>
    <mergeCell ref="D1268:E1268"/>
    <mergeCell ref="D1269:E1269"/>
    <mergeCell ref="D1270:E1270"/>
    <mergeCell ref="D1271:E1271"/>
    <mergeCell ref="D1272:E1272"/>
    <mergeCell ref="D1273:E1273"/>
    <mergeCell ref="A1252:G1252"/>
    <mergeCell ref="A1254:G1254"/>
    <mergeCell ref="D1255:E1255"/>
    <mergeCell ref="D1257:E1257"/>
    <mergeCell ref="D1260:E1260"/>
    <mergeCell ref="D1261:E1261"/>
    <mergeCell ref="D1262:E1262"/>
    <mergeCell ref="D1263:E1263"/>
    <mergeCell ref="D1264:E1264"/>
    <mergeCell ref="A1242:B1242"/>
    <mergeCell ref="A1248:B1248"/>
    <mergeCell ref="A1229:B1229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21:B1221"/>
    <mergeCell ref="A1222:B1222"/>
    <mergeCell ref="A1223:B1223"/>
    <mergeCell ref="A1224:B1224"/>
    <mergeCell ref="A1225:B1225"/>
    <mergeCell ref="A1227:B1227"/>
    <mergeCell ref="A1228:B1228"/>
    <mergeCell ref="A1239:B1239"/>
    <mergeCell ref="A1240:B1240"/>
    <mergeCell ref="D1199:E1199"/>
    <mergeCell ref="C1209:D1209"/>
    <mergeCell ref="A1214:B1214"/>
    <mergeCell ref="A1215:B1215"/>
    <mergeCell ref="A1216:B1216"/>
    <mergeCell ref="A1218:B1218"/>
    <mergeCell ref="D1201:E1201"/>
    <mergeCell ref="A1219:B1219"/>
    <mergeCell ref="A1220:B1220"/>
    <mergeCell ref="A995:B995"/>
    <mergeCell ref="A1001:B1001"/>
    <mergeCell ref="A984:B984"/>
    <mergeCell ref="A985:B985"/>
    <mergeCell ref="A986:B986"/>
    <mergeCell ref="A987:B987"/>
    <mergeCell ref="A988:B988"/>
    <mergeCell ref="A990:B990"/>
    <mergeCell ref="A991:B991"/>
    <mergeCell ref="A992:B992"/>
    <mergeCell ref="A993:B993"/>
    <mergeCell ref="A989:B989"/>
    <mergeCell ref="A673:G673"/>
    <mergeCell ref="A675:G675"/>
    <mergeCell ref="D676:E676"/>
    <mergeCell ref="D678:E678"/>
    <mergeCell ref="A836:B836"/>
    <mergeCell ref="A830:B830"/>
    <mergeCell ref="A831:B831"/>
    <mergeCell ref="A647:B647"/>
    <mergeCell ref="A651:B651"/>
    <mergeCell ref="A652:B652"/>
    <mergeCell ref="D679:E679"/>
    <mergeCell ref="D681:E681"/>
    <mergeCell ref="G681:G684"/>
    <mergeCell ref="D682:E682"/>
    <mergeCell ref="D683:E683"/>
    <mergeCell ref="D684:E684"/>
    <mergeCell ref="A722:B722"/>
    <mergeCell ref="A723:B723"/>
    <mergeCell ref="A742:B742"/>
    <mergeCell ref="D685:E685"/>
    <mergeCell ref="D686:E686"/>
    <mergeCell ref="D688:E688"/>
    <mergeCell ref="D691:E691"/>
    <mergeCell ref="D697:E697"/>
    <mergeCell ref="D611:E611"/>
    <mergeCell ref="D619:E619"/>
    <mergeCell ref="D620:E620"/>
    <mergeCell ref="A639:B639"/>
    <mergeCell ref="A645:B645"/>
    <mergeCell ref="A646:B646"/>
    <mergeCell ref="D605:E605"/>
    <mergeCell ref="D606:E606"/>
    <mergeCell ref="D608:E608"/>
    <mergeCell ref="D617:E617"/>
    <mergeCell ref="D618:E618"/>
    <mergeCell ref="D598:E598"/>
    <mergeCell ref="D599:E599"/>
    <mergeCell ref="D601:E601"/>
    <mergeCell ref="G601:G604"/>
    <mergeCell ref="D602:E602"/>
    <mergeCell ref="D603:E603"/>
    <mergeCell ref="D604:E604"/>
    <mergeCell ref="A593:G593"/>
    <mergeCell ref="A595:G595"/>
    <mergeCell ref="D596:E596"/>
    <mergeCell ref="D547:E547"/>
    <mergeCell ref="A572:B572"/>
    <mergeCell ref="A573:B573"/>
    <mergeCell ref="A574:B574"/>
    <mergeCell ref="D545:E545"/>
    <mergeCell ref="D548:E548"/>
    <mergeCell ref="A566:B566"/>
    <mergeCell ref="D546:E546"/>
    <mergeCell ref="D532:E532"/>
    <mergeCell ref="D534:E534"/>
    <mergeCell ref="D535:E535"/>
    <mergeCell ref="D537:E537"/>
    <mergeCell ref="D533:E533"/>
    <mergeCell ref="A431:G431"/>
    <mergeCell ref="D432:E432"/>
    <mergeCell ref="A344:B344"/>
    <mergeCell ref="D308:E308"/>
    <mergeCell ref="D309:E309"/>
    <mergeCell ref="A337:B337"/>
    <mergeCell ref="A331:B331"/>
    <mergeCell ref="A578:B578"/>
    <mergeCell ref="A579:B579"/>
    <mergeCell ref="A385:G385"/>
    <mergeCell ref="A387:G387"/>
    <mergeCell ref="G530:G533"/>
    <mergeCell ref="D388:E388"/>
    <mergeCell ref="D528:E528"/>
    <mergeCell ref="D530:E530"/>
    <mergeCell ref="D478:E478"/>
    <mergeCell ref="A522:G522"/>
    <mergeCell ref="A524:G524"/>
    <mergeCell ref="D525:E525"/>
    <mergeCell ref="D527:E527"/>
    <mergeCell ref="A429:G429"/>
    <mergeCell ref="A475:G475"/>
    <mergeCell ref="A477:G477"/>
    <mergeCell ref="D531:E531"/>
    <mergeCell ref="D145:E145"/>
    <mergeCell ref="D146:E146"/>
    <mergeCell ref="A289:G289"/>
    <mergeCell ref="A291:G291"/>
    <mergeCell ref="D292:E292"/>
    <mergeCell ref="D230:E230"/>
    <mergeCell ref="D229:E229"/>
    <mergeCell ref="A268:B268"/>
    <mergeCell ref="A272:B272"/>
    <mergeCell ref="D232:E232"/>
    <mergeCell ref="D239:E239"/>
    <mergeCell ref="D240:E240"/>
    <mergeCell ref="D234:E234"/>
    <mergeCell ref="D235:E235"/>
    <mergeCell ref="A273:B273"/>
    <mergeCell ref="A260:B260"/>
    <mergeCell ref="A266:B266"/>
    <mergeCell ref="A267:B267"/>
    <mergeCell ref="A1:G1"/>
    <mergeCell ref="A48:G48"/>
    <mergeCell ref="A51:G51"/>
    <mergeCell ref="D52:E52"/>
    <mergeCell ref="A4:G4"/>
    <mergeCell ref="D5:E5"/>
    <mergeCell ref="A2:G2"/>
    <mergeCell ref="D231:E231"/>
    <mergeCell ref="A96:G96"/>
    <mergeCell ref="A139:G139"/>
    <mergeCell ref="A141:G141"/>
    <mergeCell ref="D147:E147"/>
    <mergeCell ref="D148:E148"/>
    <mergeCell ref="D144:E144"/>
    <mergeCell ref="D228:E228"/>
    <mergeCell ref="A179:G179"/>
    <mergeCell ref="A177:G177"/>
    <mergeCell ref="D142:E142"/>
    <mergeCell ref="D180:E180"/>
    <mergeCell ref="A223:G223"/>
    <mergeCell ref="A225:G225"/>
    <mergeCell ref="D226:E226"/>
    <mergeCell ref="D153:E153"/>
    <mergeCell ref="D154:E154"/>
    <mergeCell ref="G297:G301"/>
    <mergeCell ref="D313:E313"/>
    <mergeCell ref="A338:B338"/>
    <mergeCell ref="A339:B339"/>
    <mergeCell ref="A343:B343"/>
    <mergeCell ref="D294:E294"/>
    <mergeCell ref="D295:E295"/>
    <mergeCell ref="D297:E297"/>
    <mergeCell ref="D300:E300"/>
    <mergeCell ref="D303:E303"/>
    <mergeCell ref="D298:E298"/>
    <mergeCell ref="D301:E301"/>
    <mergeCell ref="D312:E312"/>
    <mergeCell ref="D698:E698"/>
    <mergeCell ref="D699:E699"/>
    <mergeCell ref="A716:B716"/>
    <mergeCell ref="A743:B743"/>
    <mergeCell ref="C708:D708"/>
    <mergeCell ref="A728:B728"/>
    <mergeCell ref="A724:B724"/>
    <mergeCell ref="A726:B726"/>
    <mergeCell ref="A727:B727"/>
    <mergeCell ref="A729:B729"/>
    <mergeCell ref="A730:B730"/>
    <mergeCell ref="A731:B731"/>
    <mergeCell ref="A732:B732"/>
    <mergeCell ref="A733:B733"/>
    <mergeCell ref="A735:B735"/>
    <mergeCell ref="A736:B736"/>
    <mergeCell ref="A737:B737"/>
    <mergeCell ref="D790:E790"/>
    <mergeCell ref="C800:D800"/>
    <mergeCell ref="A808:B808"/>
    <mergeCell ref="D783:E783"/>
    <mergeCell ref="A765:G765"/>
    <mergeCell ref="A767:G767"/>
    <mergeCell ref="D768:E768"/>
    <mergeCell ref="D770:E770"/>
    <mergeCell ref="D771:E771"/>
    <mergeCell ref="D773:E773"/>
    <mergeCell ref="D774:E774"/>
    <mergeCell ref="D775:E775"/>
    <mergeCell ref="G773:G775"/>
    <mergeCell ref="A824:B824"/>
    <mergeCell ref="A825:B825"/>
    <mergeCell ref="A827:B827"/>
    <mergeCell ref="A828:B828"/>
    <mergeCell ref="A829:B829"/>
    <mergeCell ref="A834:B834"/>
    <mergeCell ref="A835:B835"/>
    <mergeCell ref="A851:B851"/>
    <mergeCell ref="D776:E776"/>
    <mergeCell ref="A814:B814"/>
    <mergeCell ref="A815:B815"/>
    <mergeCell ref="A816:B816"/>
    <mergeCell ref="A818:B818"/>
    <mergeCell ref="A819:B819"/>
    <mergeCell ref="A820:B820"/>
    <mergeCell ref="A821:B821"/>
    <mergeCell ref="A822:B822"/>
    <mergeCell ref="A823:B823"/>
    <mergeCell ref="D777:E777"/>
    <mergeCell ref="D778:E778"/>
    <mergeCell ref="D779:E779"/>
    <mergeCell ref="D782:E782"/>
    <mergeCell ref="D788:E788"/>
    <mergeCell ref="D789:E789"/>
    <mergeCell ref="C897:D897"/>
    <mergeCell ref="A899:B899"/>
    <mergeCell ref="D898:E898"/>
    <mergeCell ref="A858:G858"/>
    <mergeCell ref="A860:G860"/>
    <mergeCell ref="D861:E861"/>
    <mergeCell ref="G866:G871"/>
    <mergeCell ref="D869:E869"/>
    <mergeCell ref="D870:E870"/>
    <mergeCell ref="D871:E871"/>
    <mergeCell ref="D873:E873"/>
    <mergeCell ref="D877:E877"/>
    <mergeCell ref="D863:E863"/>
    <mergeCell ref="D864:E864"/>
    <mergeCell ref="D866:E866"/>
    <mergeCell ref="D867:E867"/>
    <mergeCell ref="D868:E868"/>
    <mergeCell ref="D872:E872"/>
    <mergeCell ref="D875:E875"/>
    <mergeCell ref="D876:E876"/>
    <mergeCell ref="A912:B912"/>
    <mergeCell ref="A907:B907"/>
    <mergeCell ref="A908:B908"/>
    <mergeCell ref="A909:B909"/>
    <mergeCell ref="A910:B910"/>
    <mergeCell ref="A900:B900"/>
    <mergeCell ref="A901:B901"/>
    <mergeCell ref="A903:B903"/>
    <mergeCell ref="A904:B904"/>
    <mergeCell ref="A905:B905"/>
    <mergeCell ref="D944:E944"/>
    <mergeCell ref="D945:E945"/>
    <mergeCell ref="D946:E946"/>
    <mergeCell ref="D947:E947"/>
    <mergeCell ref="D954:E954"/>
    <mergeCell ref="D878:E878"/>
    <mergeCell ref="D879:E879"/>
    <mergeCell ref="A926:G926"/>
    <mergeCell ref="A928:G928"/>
    <mergeCell ref="D929:E929"/>
    <mergeCell ref="D931:E931"/>
    <mergeCell ref="D932:E932"/>
    <mergeCell ref="D934:E934"/>
    <mergeCell ref="D935:E935"/>
    <mergeCell ref="D936:E936"/>
    <mergeCell ref="D937:E937"/>
    <mergeCell ref="D938:E938"/>
    <mergeCell ref="D939:E939"/>
    <mergeCell ref="A921:B921"/>
    <mergeCell ref="A913:B913"/>
    <mergeCell ref="A914:B914"/>
    <mergeCell ref="D886:E886"/>
    <mergeCell ref="D887:E887"/>
    <mergeCell ref="A906:B906"/>
    <mergeCell ref="A982:B982"/>
    <mergeCell ref="A967:B967"/>
    <mergeCell ref="A968:B968"/>
    <mergeCell ref="A971:B971"/>
    <mergeCell ref="A972:B972"/>
    <mergeCell ref="A973:B973"/>
    <mergeCell ref="D940:E940"/>
    <mergeCell ref="D941:E941"/>
    <mergeCell ref="A1006:G1006"/>
    <mergeCell ref="D942:E942"/>
    <mergeCell ref="A974:B974"/>
    <mergeCell ref="A975:B975"/>
    <mergeCell ref="A976:B976"/>
    <mergeCell ref="A977:B977"/>
    <mergeCell ref="A980:B980"/>
    <mergeCell ref="A981:B981"/>
    <mergeCell ref="D948:E948"/>
    <mergeCell ref="D949:E949"/>
    <mergeCell ref="D955:E955"/>
    <mergeCell ref="C965:D965"/>
    <mergeCell ref="D966:E966"/>
    <mergeCell ref="A969:B969"/>
    <mergeCell ref="A978:B978"/>
    <mergeCell ref="D943:E943"/>
    <mergeCell ref="A1008:G1008"/>
    <mergeCell ref="D1009:E1009"/>
    <mergeCell ref="D1011:E1011"/>
    <mergeCell ref="D1012:E1012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C1044:D1044"/>
    <mergeCell ref="A1047:B1047"/>
    <mergeCell ref="A1048:B1048"/>
    <mergeCell ref="A1049:B1049"/>
    <mergeCell ref="A1051:B1051"/>
    <mergeCell ref="A1052:B1052"/>
    <mergeCell ref="A1053:B1053"/>
    <mergeCell ref="D1036:E1036"/>
    <mergeCell ref="A1054:B1054"/>
    <mergeCell ref="A1055:B1055"/>
    <mergeCell ref="A1056:B1056"/>
    <mergeCell ref="A1057:B1057"/>
    <mergeCell ref="A1058:B1058"/>
    <mergeCell ref="A1060:B1060"/>
    <mergeCell ref="A1061:B1061"/>
    <mergeCell ref="A1062:B1062"/>
    <mergeCell ref="A1064:B1064"/>
    <mergeCell ref="A1075:B1075"/>
    <mergeCell ref="A1081:B1081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86:G1086"/>
    <mergeCell ref="A1088:G1088"/>
    <mergeCell ref="D1089:E1089"/>
    <mergeCell ref="D1091:E1091"/>
    <mergeCell ref="D1092:E1092"/>
    <mergeCell ref="D1094:E1094"/>
    <mergeCell ref="D1095:E1095"/>
    <mergeCell ref="D1096:E1096"/>
    <mergeCell ref="D1097:E1097"/>
    <mergeCell ref="D1098:E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6:E1116"/>
    <mergeCell ref="C1125:D1125"/>
    <mergeCell ref="A1130:B1130"/>
    <mergeCell ref="A1131:B1131"/>
    <mergeCell ref="A1132:B1132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3:B1143"/>
    <mergeCell ref="A1144:B1144"/>
    <mergeCell ref="A1155:B1155"/>
    <mergeCell ref="A1156:B1156"/>
    <mergeCell ref="A1158:B1158"/>
    <mergeCell ref="A1164:B1164"/>
    <mergeCell ref="A1145:B1145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D1181:E1181"/>
    <mergeCell ref="A1169:G1169"/>
    <mergeCell ref="A1171:G1171"/>
    <mergeCell ref="D1172:E1172"/>
    <mergeCell ref="D1174:E1174"/>
    <mergeCell ref="D1175:E1175"/>
    <mergeCell ref="D1177:E1177"/>
    <mergeCell ref="D1178:E1178"/>
    <mergeCell ref="D1179:E1179"/>
    <mergeCell ref="D1180:E1180"/>
    <mergeCell ref="D1191:E1191"/>
    <mergeCell ref="D1192:E1192"/>
    <mergeCell ref="D1182:E1182"/>
    <mergeCell ref="D1183:E1183"/>
    <mergeCell ref="D1184:E1184"/>
    <mergeCell ref="D1185:E1185"/>
    <mergeCell ref="D1186:E1186"/>
    <mergeCell ref="D1187:E1187"/>
    <mergeCell ref="D1188:E1188"/>
    <mergeCell ref="D1189:E1189"/>
    <mergeCell ref="D1190:E119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3E20-F6ED-44C4-9D3E-919E3B7436E7}">
  <dimension ref="A1:H108"/>
  <sheetViews>
    <sheetView topLeftCell="A91" workbookViewId="0">
      <selection activeCell="C114" sqref="C114"/>
    </sheetView>
  </sheetViews>
  <sheetFormatPr baseColWidth="10" defaultRowHeight="14.4" x14ac:dyDescent="0.3"/>
  <cols>
    <col min="1" max="1" width="8.88671875" customWidth="1"/>
    <col min="2" max="2" width="21.33203125" customWidth="1"/>
    <col min="3" max="3" width="45" customWidth="1"/>
    <col min="4" max="4" width="23.21875" customWidth="1"/>
    <col min="5" max="5" width="20.88671875" customWidth="1"/>
    <col min="7" max="7" width="18.88671875" customWidth="1"/>
  </cols>
  <sheetData>
    <row r="1" spans="1:8" ht="15" thickBot="1" x14ac:dyDescent="0.35"/>
    <row r="2" spans="1:8" ht="55.2" customHeight="1" x14ac:dyDescent="0.3">
      <c r="A2" s="83" t="s">
        <v>33</v>
      </c>
      <c r="B2" s="82" t="s">
        <v>34</v>
      </c>
      <c r="C2" s="84" t="s">
        <v>0</v>
      </c>
      <c r="D2" s="84" t="s">
        <v>231</v>
      </c>
      <c r="E2" s="84" t="s">
        <v>741</v>
      </c>
      <c r="F2" s="82" t="s">
        <v>91</v>
      </c>
      <c r="G2" s="92" t="s">
        <v>743</v>
      </c>
      <c r="H2" s="92" t="s">
        <v>136</v>
      </c>
    </row>
    <row r="3" spans="1:8" ht="15.6" x14ac:dyDescent="0.3">
      <c r="B3" s="100"/>
      <c r="C3" s="530"/>
      <c r="D3" s="434"/>
      <c r="E3" s="435"/>
      <c r="F3" s="435"/>
      <c r="G3" s="90"/>
      <c r="H3" s="464"/>
    </row>
    <row r="4" spans="1:8" ht="15.6" x14ac:dyDescent="0.3">
      <c r="B4" s="100"/>
      <c r="C4" s="530"/>
      <c r="D4" s="80"/>
      <c r="E4" s="435"/>
      <c r="F4" s="435"/>
      <c r="G4" s="90"/>
      <c r="H4" s="464"/>
    </row>
    <row r="5" spans="1:8" ht="15.6" x14ac:dyDescent="0.3">
      <c r="B5" s="100"/>
      <c r="C5" s="530"/>
      <c r="D5" s="80"/>
      <c r="E5" s="435"/>
      <c r="F5" s="435"/>
      <c r="G5" s="90"/>
      <c r="H5" s="464"/>
    </row>
    <row r="6" spans="1:8" ht="15.6" x14ac:dyDescent="0.3">
      <c r="B6" s="100"/>
      <c r="C6" s="530"/>
      <c r="D6" s="80"/>
      <c r="E6" s="435"/>
      <c r="F6" s="435"/>
      <c r="G6" s="90"/>
      <c r="H6" s="464"/>
    </row>
    <row r="7" spans="1:8" ht="15.6" x14ac:dyDescent="0.3">
      <c r="B7" s="86" t="s">
        <v>679</v>
      </c>
      <c r="C7" s="434" t="s">
        <v>753</v>
      </c>
      <c r="D7" s="80" t="s">
        <v>751</v>
      </c>
      <c r="E7" s="79"/>
      <c r="F7" s="79"/>
      <c r="G7" s="79"/>
      <c r="H7" s="194" t="s">
        <v>79</v>
      </c>
    </row>
    <row r="8" spans="1:8" ht="15.6" x14ac:dyDescent="0.3">
      <c r="B8" s="86" t="s">
        <v>655</v>
      </c>
      <c r="C8" s="434" t="s">
        <v>754</v>
      </c>
      <c r="D8" s="80" t="s">
        <v>752</v>
      </c>
      <c r="E8" s="79"/>
      <c r="F8" s="79"/>
      <c r="G8" s="79"/>
      <c r="H8" s="194" t="s">
        <v>79</v>
      </c>
    </row>
    <row r="9" spans="1:8" ht="15.6" x14ac:dyDescent="0.3">
      <c r="B9" s="100" t="s">
        <v>641</v>
      </c>
      <c r="C9" s="530" t="s">
        <v>640</v>
      </c>
      <c r="D9" s="80" t="s">
        <v>734</v>
      </c>
      <c r="E9" s="435"/>
      <c r="F9" s="435"/>
      <c r="G9" s="90"/>
      <c r="H9" s="464" t="s">
        <v>319</v>
      </c>
    </row>
    <row r="10" spans="1:8" ht="15.6" x14ac:dyDescent="0.3">
      <c r="B10" s="100" t="s">
        <v>234</v>
      </c>
      <c r="C10" s="530" t="s">
        <v>755</v>
      </c>
      <c r="D10" s="80" t="s">
        <v>756</v>
      </c>
      <c r="E10" s="435"/>
      <c r="F10" s="435"/>
      <c r="G10" s="90"/>
      <c r="H10" s="464" t="s">
        <v>79</v>
      </c>
    </row>
    <row r="11" spans="1:8" ht="18" x14ac:dyDescent="0.3">
      <c r="B11" s="447" t="s">
        <v>509</v>
      </c>
      <c r="C11" s="430" t="s">
        <v>610</v>
      </c>
      <c r="D11" s="80" t="s">
        <v>36</v>
      </c>
      <c r="E11" s="461"/>
      <c r="F11" s="461"/>
      <c r="G11" s="460"/>
      <c r="H11" s="539" t="s">
        <v>152</v>
      </c>
    </row>
    <row r="12" spans="1:8" ht="18" x14ac:dyDescent="0.3">
      <c r="B12" s="448" t="s">
        <v>250</v>
      </c>
      <c r="C12" s="431" t="s">
        <v>611</v>
      </c>
      <c r="D12" s="541" t="s">
        <v>36</v>
      </c>
      <c r="E12" s="461"/>
      <c r="F12" s="461"/>
      <c r="G12" s="460"/>
      <c r="H12" s="539" t="s">
        <v>152</v>
      </c>
    </row>
    <row r="13" spans="1:8" ht="18" x14ac:dyDescent="0.3">
      <c r="B13" s="447" t="s">
        <v>337</v>
      </c>
      <c r="C13" s="430" t="s">
        <v>612</v>
      </c>
      <c r="D13" s="80" t="s">
        <v>36</v>
      </c>
      <c r="E13" s="461"/>
      <c r="F13" s="461"/>
      <c r="G13" s="460"/>
      <c r="H13" s="539" t="s">
        <v>152</v>
      </c>
    </row>
    <row r="14" spans="1:8" ht="18" x14ac:dyDescent="0.3">
      <c r="B14" s="447" t="s">
        <v>249</v>
      </c>
      <c r="C14" s="432" t="s">
        <v>613</v>
      </c>
      <c r="D14" s="80" t="s">
        <v>36</v>
      </c>
      <c r="E14" s="461"/>
      <c r="F14" s="461"/>
      <c r="G14" s="460"/>
      <c r="H14" s="539" t="s">
        <v>152</v>
      </c>
    </row>
    <row r="15" spans="1:8" ht="18" x14ac:dyDescent="0.3">
      <c r="B15" s="447" t="s">
        <v>324</v>
      </c>
      <c r="C15" s="432" t="s">
        <v>614</v>
      </c>
      <c r="D15" s="541" t="s">
        <v>36</v>
      </c>
      <c r="E15" s="364"/>
      <c r="F15" s="364"/>
      <c r="G15" s="125"/>
      <c r="H15" s="539" t="s">
        <v>152</v>
      </c>
    </row>
    <row r="16" spans="1:8" ht="18" x14ac:dyDescent="0.3">
      <c r="B16" s="446" t="s">
        <v>338</v>
      </c>
      <c r="C16" s="432" t="s">
        <v>615</v>
      </c>
      <c r="D16" s="80" t="s">
        <v>36</v>
      </c>
      <c r="E16" s="462"/>
      <c r="F16" s="462"/>
      <c r="G16" s="69"/>
      <c r="H16" s="539" t="s">
        <v>152</v>
      </c>
    </row>
    <row r="17" spans="1:8" ht="18" x14ac:dyDescent="0.3">
      <c r="B17" s="449" t="s">
        <v>264</v>
      </c>
      <c r="C17" s="430" t="s">
        <v>616</v>
      </c>
      <c r="D17" s="80" t="s">
        <v>349</v>
      </c>
      <c r="E17" s="364"/>
      <c r="F17" s="364"/>
      <c r="G17" s="125"/>
      <c r="H17" s="539" t="s">
        <v>152</v>
      </c>
    </row>
    <row r="18" spans="1:8" ht="18" x14ac:dyDescent="0.3">
      <c r="B18" s="449" t="s">
        <v>251</v>
      </c>
      <c r="C18" s="430" t="s">
        <v>617</v>
      </c>
      <c r="D18" s="80"/>
      <c r="E18" s="461"/>
      <c r="F18" s="461"/>
      <c r="G18" s="460"/>
      <c r="H18" s="539" t="s">
        <v>152</v>
      </c>
    </row>
    <row r="19" spans="1:8" ht="18" x14ac:dyDescent="0.3">
      <c r="A19" t="e">
        <v>#REF!</v>
      </c>
      <c r="B19" s="446" t="s">
        <v>252</v>
      </c>
      <c r="C19" s="531" t="s">
        <v>244</v>
      </c>
      <c r="D19" s="80"/>
      <c r="E19" s="532"/>
      <c r="F19" s="532"/>
      <c r="G19" s="533"/>
      <c r="H19" s="534" t="s">
        <v>79</v>
      </c>
    </row>
    <row r="20" spans="1:8" ht="18" x14ac:dyDescent="0.3">
      <c r="A20" t="e">
        <v>#REF!</v>
      </c>
      <c r="B20" s="446" t="s">
        <v>253</v>
      </c>
      <c r="C20" s="531" t="s">
        <v>245</v>
      </c>
      <c r="D20" s="80"/>
      <c r="E20" s="532"/>
      <c r="F20" s="532"/>
      <c r="G20" s="533"/>
      <c r="H20" s="540" t="s">
        <v>152</v>
      </c>
    </row>
    <row r="21" spans="1:8" ht="18" x14ac:dyDescent="0.3">
      <c r="A21" t="e">
        <v>#REF!</v>
      </c>
      <c r="B21" s="446" t="s">
        <v>516</v>
      </c>
      <c r="C21" s="531" t="s">
        <v>491</v>
      </c>
      <c r="D21" s="80"/>
      <c r="E21" s="532"/>
      <c r="F21" s="532"/>
      <c r="G21" s="533"/>
      <c r="H21" s="540" t="s">
        <v>152</v>
      </c>
    </row>
    <row r="22" spans="1:8" ht="18" x14ac:dyDescent="0.3">
      <c r="A22" t="e">
        <v>#REF!</v>
      </c>
      <c r="B22" s="446" t="s">
        <v>524</v>
      </c>
      <c r="C22" s="531" t="s">
        <v>618</v>
      </c>
      <c r="D22" s="80" t="s">
        <v>749</v>
      </c>
      <c r="E22" s="532"/>
      <c r="F22" s="532"/>
      <c r="G22" s="533"/>
      <c r="H22" s="534" t="s">
        <v>79</v>
      </c>
    </row>
    <row r="23" spans="1:8" ht="18" x14ac:dyDescent="0.3">
      <c r="A23" t="e">
        <v>#REF!</v>
      </c>
      <c r="B23" s="446" t="s">
        <v>343</v>
      </c>
      <c r="C23" s="531" t="s">
        <v>341</v>
      </c>
      <c r="D23" s="80"/>
      <c r="E23" s="532" t="s">
        <v>40</v>
      </c>
      <c r="F23" s="532"/>
      <c r="G23" s="533"/>
      <c r="H23" s="534" t="s">
        <v>79</v>
      </c>
    </row>
    <row r="24" spans="1:8" ht="18" x14ac:dyDescent="0.3">
      <c r="A24" t="e">
        <v>#REF!</v>
      </c>
      <c r="B24" s="446"/>
      <c r="C24" s="531" t="s">
        <v>545</v>
      </c>
      <c r="D24" s="80"/>
      <c r="E24" s="532"/>
      <c r="F24" s="532"/>
      <c r="G24" s="533"/>
      <c r="H24" s="534" t="s">
        <v>79</v>
      </c>
    </row>
    <row r="25" spans="1:8" ht="18" x14ac:dyDescent="0.3">
      <c r="A25" t="e">
        <v>#REF!</v>
      </c>
      <c r="B25" s="446"/>
      <c r="C25" s="531" t="s">
        <v>592</v>
      </c>
      <c r="D25" s="80"/>
      <c r="E25" s="532"/>
      <c r="F25" s="532"/>
      <c r="G25" s="533"/>
      <c r="H25" s="534" t="s">
        <v>79</v>
      </c>
    </row>
    <row r="26" spans="1:8" ht="18" x14ac:dyDescent="0.3">
      <c r="A26" t="e">
        <v>#REF!</v>
      </c>
      <c r="B26" s="446" t="s">
        <v>524</v>
      </c>
      <c r="C26" s="531" t="s">
        <v>527</v>
      </c>
      <c r="D26" s="80"/>
      <c r="E26" s="532"/>
      <c r="F26" s="532"/>
      <c r="G26" s="533"/>
      <c r="H26" s="534" t="s">
        <v>79</v>
      </c>
    </row>
    <row r="27" spans="1:8" ht="18" x14ac:dyDescent="0.3">
      <c r="B27" s="446"/>
      <c r="C27" s="531"/>
      <c r="D27" s="80"/>
      <c r="E27" s="532"/>
      <c r="F27" s="532"/>
      <c r="G27" s="533"/>
      <c r="H27" s="534"/>
    </row>
    <row r="28" spans="1:8" ht="18" x14ac:dyDescent="0.3">
      <c r="B28" s="446"/>
      <c r="C28" s="531"/>
      <c r="D28" s="80"/>
      <c r="E28" s="532"/>
      <c r="F28" s="532"/>
      <c r="G28" s="533"/>
      <c r="H28" s="534"/>
    </row>
    <row r="29" spans="1:8" ht="15.6" x14ac:dyDescent="0.3">
      <c r="B29" s="100"/>
      <c r="C29" s="110"/>
      <c r="D29" s="80"/>
      <c r="E29" s="435"/>
      <c r="F29" s="435"/>
      <c r="G29" s="90"/>
      <c r="H29" s="464"/>
    </row>
    <row r="30" spans="1:8" ht="15.6" x14ac:dyDescent="0.3">
      <c r="B30" s="100"/>
      <c r="C30" s="110"/>
      <c r="D30" s="80"/>
      <c r="E30" s="435"/>
      <c r="F30" s="435"/>
      <c r="G30" s="90"/>
      <c r="H30" s="464"/>
    </row>
    <row r="31" spans="1:8" ht="15.6" x14ac:dyDescent="0.3">
      <c r="B31" s="100" t="s">
        <v>172</v>
      </c>
      <c r="C31" s="110" t="s">
        <v>36</v>
      </c>
      <c r="D31" s="80"/>
      <c r="E31" s="435">
        <v>18000000</v>
      </c>
      <c r="F31" s="435"/>
      <c r="G31" s="90">
        <v>12000000</v>
      </c>
      <c r="H31" s="464"/>
    </row>
    <row r="32" spans="1:8" ht="15.6" x14ac:dyDescent="0.3">
      <c r="B32" s="93" t="s">
        <v>173</v>
      </c>
      <c r="C32" s="111" t="s">
        <v>62</v>
      </c>
      <c r="D32" s="80"/>
      <c r="E32" s="436">
        <v>750000</v>
      </c>
      <c r="F32" s="436"/>
      <c r="G32" s="79">
        <v>0</v>
      </c>
      <c r="H32" s="465"/>
    </row>
    <row r="33" spans="2:8" ht="15.6" x14ac:dyDescent="0.3">
      <c r="B33" s="93" t="s">
        <v>174</v>
      </c>
      <c r="C33" s="111" t="s">
        <v>63</v>
      </c>
      <c r="D33" s="80"/>
      <c r="E33" s="436"/>
      <c r="F33" s="436"/>
      <c r="G33" s="79"/>
      <c r="H33" s="465" t="s">
        <v>143</v>
      </c>
    </row>
    <row r="34" spans="2:8" ht="15.6" x14ac:dyDescent="0.3">
      <c r="B34" s="93" t="s">
        <v>171</v>
      </c>
      <c r="C34" s="111" t="s">
        <v>64</v>
      </c>
      <c r="D34" s="80"/>
      <c r="E34" s="436">
        <v>1150000</v>
      </c>
      <c r="F34" s="436"/>
      <c r="G34" s="79">
        <v>800000</v>
      </c>
      <c r="H34" s="465"/>
    </row>
    <row r="35" spans="2:8" ht="15.6" x14ac:dyDescent="0.3">
      <c r="B35" s="93" t="s">
        <v>175</v>
      </c>
      <c r="C35" s="111" t="s">
        <v>133</v>
      </c>
      <c r="D35" s="80"/>
      <c r="E35" s="436">
        <v>5000000</v>
      </c>
      <c r="F35" s="436"/>
      <c r="G35" s="79">
        <v>2500000</v>
      </c>
      <c r="H35" s="465" t="s">
        <v>143</v>
      </c>
    </row>
    <row r="36" spans="2:8" ht="15.6" x14ac:dyDescent="0.3">
      <c r="B36" s="93" t="s">
        <v>171</v>
      </c>
      <c r="C36" s="111" t="s">
        <v>70</v>
      </c>
      <c r="D36" s="80"/>
      <c r="E36" s="436">
        <v>2500000</v>
      </c>
      <c r="F36" s="436"/>
      <c r="G36" s="79">
        <v>2000000</v>
      </c>
      <c r="H36" s="465"/>
    </row>
    <row r="37" spans="2:8" ht="15.6" x14ac:dyDescent="0.3">
      <c r="B37" s="93" t="s">
        <v>176</v>
      </c>
      <c r="C37" s="111" t="s">
        <v>80</v>
      </c>
      <c r="D37" s="80"/>
      <c r="E37" s="436"/>
      <c r="F37" s="436"/>
      <c r="G37" s="79"/>
      <c r="H37" s="465" t="s">
        <v>143</v>
      </c>
    </row>
    <row r="38" spans="2:8" ht="15.6" x14ac:dyDescent="0.3">
      <c r="B38" s="93" t="s">
        <v>177</v>
      </c>
      <c r="C38" s="111" t="s">
        <v>81</v>
      </c>
      <c r="D38" s="80"/>
      <c r="E38" s="436" t="s">
        <v>76</v>
      </c>
      <c r="F38" s="436"/>
      <c r="G38" s="79"/>
      <c r="H38" s="465"/>
    </row>
    <row r="39" spans="2:8" ht="15.6" x14ac:dyDescent="0.3">
      <c r="B39" s="93" t="s">
        <v>178</v>
      </c>
      <c r="C39" s="111" t="s">
        <v>82</v>
      </c>
      <c r="D39" s="80"/>
      <c r="E39" s="436" t="s">
        <v>76</v>
      </c>
      <c r="F39" s="436"/>
      <c r="G39" s="79"/>
      <c r="H39" s="465"/>
    </row>
    <row r="40" spans="2:8" ht="15.6" x14ac:dyDescent="0.3">
      <c r="B40" s="93" t="s">
        <v>179</v>
      </c>
      <c r="C40" s="111" t="s">
        <v>84</v>
      </c>
      <c r="D40" s="434"/>
      <c r="E40" s="436" t="s">
        <v>76</v>
      </c>
      <c r="F40" s="436"/>
      <c r="G40" s="79"/>
      <c r="H40" s="465"/>
    </row>
    <row r="41" spans="2:8" ht="15.6" x14ac:dyDescent="0.3">
      <c r="B41" s="93" t="s">
        <v>180</v>
      </c>
      <c r="C41" s="111" t="s">
        <v>85</v>
      </c>
      <c r="D41" s="434"/>
      <c r="E41" s="436" t="s">
        <v>76</v>
      </c>
      <c r="F41" s="436"/>
      <c r="G41" s="79"/>
      <c r="H41" s="465"/>
    </row>
    <row r="42" spans="2:8" ht="15.6" x14ac:dyDescent="0.3">
      <c r="B42" s="96" t="s">
        <v>181</v>
      </c>
      <c r="C42" s="111" t="s">
        <v>96</v>
      </c>
      <c r="D42" s="434"/>
      <c r="E42" s="436"/>
      <c r="F42" s="436"/>
      <c r="G42" s="79">
        <v>0</v>
      </c>
      <c r="H42" s="465"/>
    </row>
    <row r="43" spans="2:8" ht="15.6" x14ac:dyDescent="0.3">
      <c r="B43" s="96" t="s">
        <v>182</v>
      </c>
      <c r="C43" s="111" t="s">
        <v>118</v>
      </c>
      <c r="D43" s="434"/>
      <c r="E43" s="436">
        <v>26250000</v>
      </c>
      <c r="F43" s="436"/>
      <c r="G43" s="79">
        <v>26250000</v>
      </c>
      <c r="H43" s="465" t="s">
        <v>149</v>
      </c>
    </row>
    <row r="44" spans="2:8" ht="15.6" x14ac:dyDescent="0.3">
      <c r="B44" s="96" t="s">
        <v>183</v>
      </c>
      <c r="C44" s="111" t="s">
        <v>119</v>
      </c>
      <c r="D44" s="434"/>
      <c r="E44" s="436">
        <v>55000000</v>
      </c>
      <c r="F44" s="436"/>
      <c r="G44" s="79">
        <v>55000000</v>
      </c>
      <c r="H44" s="465" t="s">
        <v>149</v>
      </c>
    </row>
    <row r="45" spans="2:8" ht="15.6" x14ac:dyDescent="0.3">
      <c r="B45" s="96" t="s">
        <v>183</v>
      </c>
      <c r="C45" s="111" t="s">
        <v>120</v>
      </c>
      <c r="D45" s="434"/>
      <c r="E45" s="436" t="s">
        <v>184</v>
      </c>
      <c r="F45" s="436"/>
      <c r="G45" s="79"/>
      <c r="H45" s="465"/>
    </row>
    <row r="46" spans="2:8" ht="15.6" x14ac:dyDescent="0.3">
      <c r="B46" s="96" t="s">
        <v>183</v>
      </c>
      <c r="C46" s="111" t="s">
        <v>121</v>
      </c>
      <c r="D46" s="434"/>
      <c r="E46" s="436"/>
      <c r="F46" s="436"/>
      <c r="G46" s="79"/>
      <c r="H46" s="465"/>
    </row>
    <row r="47" spans="2:8" ht="15.6" x14ac:dyDescent="0.3">
      <c r="B47" s="96" t="s">
        <v>183</v>
      </c>
      <c r="C47" s="111" t="s">
        <v>123</v>
      </c>
      <c r="D47" s="434"/>
      <c r="E47" s="436" t="s">
        <v>138</v>
      </c>
      <c r="F47" s="436"/>
      <c r="G47" s="79"/>
      <c r="H47" s="465"/>
    </row>
    <row r="48" spans="2:8" ht="15.6" x14ac:dyDescent="0.3">
      <c r="B48" s="96" t="s">
        <v>183</v>
      </c>
      <c r="C48" s="111" t="s">
        <v>125</v>
      </c>
      <c r="D48" s="434"/>
      <c r="E48" s="436" t="s">
        <v>138</v>
      </c>
      <c r="F48" s="436"/>
      <c r="G48" s="79"/>
      <c r="H48" s="465"/>
    </row>
    <row r="49" spans="2:8" ht="15.6" x14ac:dyDescent="0.3">
      <c r="B49" s="96" t="s">
        <v>167</v>
      </c>
      <c r="C49" s="111" t="s">
        <v>126</v>
      </c>
      <c r="D49" s="434"/>
      <c r="E49" s="436" t="s">
        <v>138</v>
      </c>
      <c r="F49" s="436"/>
      <c r="G49" s="79"/>
      <c r="H49" s="465"/>
    </row>
    <row r="50" spans="2:8" ht="15.6" x14ac:dyDescent="0.3">
      <c r="B50" s="96" t="s">
        <v>183</v>
      </c>
      <c r="C50" s="111" t="s">
        <v>127</v>
      </c>
      <c r="D50" s="434"/>
      <c r="E50" s="436">
        <v>2000000</v>
      </c>
      <c r="F50" s="436"/>
      <c r="G50" s="79">
        <v>2000000</v>
      </c>
      <c r="H50" s="465" t="s">
        <v>149</v>
      </c>
    </row>
    <row r="51" spans="2:8" ht="15.6" x14ac:dyDescent="0.3">
      <c r="B51" s="96" t="s">
        <v>183</v>
      </c>
      <c r="C51" s="111" t="s">
        <v>128</v>
      </c>
      <c r="D51" s="434"/>
      <c r="E51" s="436" t="s">
        <v>138</v>
      </c>
      <c r="F51" s="436"/>
      <c r="G51" s="79"/>
      <c r="H51" s="465"/>
    </row>
    <row r="52" spans="2:8" ht="15.6" x14ac:dyDescent="0.3">
      <c r="B52" s="96" t="s">
        <v>183</v>
      </c>
      <c r="C52" s="111" t="s">
        <v>129</v>
      </c>
      <c r="D52" s="434"/>
      <c r="E52" s="436" t="s">
        <v>40</v>
      </c>
      <c r="F52" s="436"/>
      <c r="G52" s="79"/>
      <c r="H52" s="465"/>
    </row>
    <row r="53" spans="2:8" ht="15.6" x14ac:dyDescent="0.3">
      <c r="B53" s="96" t="s">
        <v>167</v>
      </c>
      <c r="C53" s="111" t="s">
        <v>130</v>
      </c>
      <c r="D53" s="434"/>
      <c r="E53" s="436" t="s">
        <v>40</v>
      </c>
      <c r="F53" s="436"/>
      <c r="G53" s="79"/>
      <c r="H53" s="465"/>
    </row>
    <row r="54" spans="2:8" ht="15.6" x14ac:dyDescent="0.3">
      <c r="B54" s="96" t="s">
        <v>185</v>
      </c>
      <c r="C54" s="111" t="s">
        <v>131</v>
      </c>
      <c r="D54" s="434"/>
      <c r="E54" s="436"/>
      <c r="F54" s="436"/>
      <c r="G54" s="79"/>
      <c r="H54" s="465" t="s">
        <v>150</v>
      </c>
    </row>
    <row r="55" spans="2:8" ht="15.6" x14ac:dyDescent="0.3">
      <c r="B55" s="96" t="s">
        <v>170</v>
      </c>
      <c r="C55" s="111" t="s">
        <v>132</v>
      </c>
      <c r="D55" s="434"/>
      <c r="E55" s="436" t="s">
        <v>151</v>
      </c>
      <c r="F55" s="436"/>
      <c r="G55" s="79"/>
      <c r="H55" s="465"/>
    </row>
    <row r="56" spans="2:8" ht="15.6" x14ac:dyDescent="0.3">
      <c r="B56" s="96" t="s">
        <v>186</v>
      </c>
      <c r="C56" s="111" t="s">
        <v>134</v>
      </c>
      <c r="D56" s="434"/>
      <c r="E56" s="436" t="s">
        <v>151</v>
      </c>
      <c r="F56" s="436"/>
      <c r="G56" s="79"/>
      <c r="H56" s="465"/>
    </row>
    <row r="57" spans="2:8" ht="16.2" thickBot="1" x14ac:dyDescent="0.35">
      <c r="B57" s="98" t="s">
        <v>186</v>
      </c>
      <c r="C57" s="114" t="s">
        <v>135</v>
      </c>
      <c r="D57" s="434"/>
      <c r="E57" s="443" t="s">
        <v>151</v>
      </c>
      <c r="F57" s="443"/>
      <c r="G57" s="88"/>
      <c r="H57" s="466"/>
    </row>
    <row r="58" spans="2:8" ht="15.6" x14ac:dyDescent="0.3">
      <c r="B58" s="115" t="s">
        <v>187</v>
      </c>
      <c r="C58" s="104" t="s">
        <v>46</v>
      </c>
      <c r="D58" s="434"/>
      <c r="E58" s="444">
        <v>1000000</v>
      </c>
      <c r="F58" s="444"/>
      <c r="G58" s="103"/>
      <c r="H58" s="467" t="s">
        <v>152</v>
      </c>
    </row>
    <row r="59" spans="2:8" ht="15.6" x14ac:dyDescent="0.3">
      <c r="B59" s="86" t="s">
        <v>175</v>
      </c>
      <c r="C59" s="105" t="s">
        <v>48</v>
      </c>
      <c r="D59" s="434"/>
      <c r="E59" s="436">
        <v>3000000</v>
      </c>
      <c r="F59" s="436"/>
      <c r="G59" s="79">
        <v>0</v>
      </c>
      <c r="H59" s="465" t="s">
        <v>152</v>
      </c>
    </row>
    <row r="60" spans="2:8" ht="15.6" x14ac:dyDescent="0.3">
      <c r="B60" s="86" t="s">
        <v>188</v>
      </c>
      <c r="C60" s="106" t="s">
        <v>51</v>
      </c>
      <c r="D60" s="434"/>
      <c r="E60" s="436"/>
      <c r="F60" s="436"/>
      <c r="G60" s="79">
        <v>0</v>
      </c>
      <c r="H60" s="465" t="s">
        <v>152</v>
      </c>
    </row>
    <row r="61" spans="2:8" ht="15.6" x14ac:dyDescent="0.3">
      <c r="B61" s="86" t="s">
        <v>173</v>
      </c>
      <c r="C61" s="105" t="s">
        <v>122</v>
      </c>
      <c r="D61" s="434"/>
      <c r="E61" s="436">
        <v>2500000</v>
      </c>
      <c r="F61" s="436"/>
      <c r="G61" s="79">
        <v>0</v>
      </c>
      <c r="H61" s="465" t="s">
        <v>152</v>
      </c>
    </row>
    <row r="62" spans="2:8" ht="15.6" x14ac:dyDescent="0.3">
      <c r="B62" s="86" t="s">
        <v>189</v>
      </c>
      <c r="C62" s="105" t="s">
        <v>60</v>
      </c>
      <c r="D62" s="434"/>
      <c r="E62" s="436">
        <v>1091500</v>
      </c>
      <c r="F62" s="436"/>
      <c r="G62" s="79">
        <v>0</v>
      </c>
      <c r="H62" s="465" t="s">
        <v>152</v>
      </c>
    </row>
    <row r="63" spans="2:8" ht="15.6" x14ac:dyDescent="0.3">
      <c r="B63" s="86" t="s">
        <v>190</v>
      </c>
      <c r="C63" s="105" t="s">
        <v>68</v>
      </c>
      <c r="D63" s="434"/>
      <c r="E63" s="436">
        <v>6500000</v>
      </c>
      <c r="F63" s="436"/>
      <c r="G63" s="79">
        <v>0</v>
      </c>
      <c r="H63" s="465" t="s">
        <v>152</v>
      </c>
    </row>
    <row r="64" spans="2:8" ht="15.6" x14ac:dyDescent="0.3">
      <c r="B64" s="86" t="s">
        <v>183</v>
      </c>
      <c r="C64" s="105" t="s">
        <v>71</v>
      </c>
      <c r="D64" s="434"/>
      <c r="E64" s="436">
        <v>10000000</v>
      </c>
      <c r="F64" s="436"/>
      <c r="G64" s="79">
        <v>0</v>
      </c>
      <c r="H64" s="465" t="s">
        <v>152</v>
      </c>
    </row>
    <row r="65" spans="2:8" ht="15.6" x14ac:dyDescent="0.3">
      <c r="B65" s="113">
        <v>43435</v>
      </c>
      <c r="C65" s="105" t="s">
        <v>109</v>
      </c>
      <c r="D65" s="434"/>
      <c r="E65" s="436" t="s">
        <v>147</v>
      </c>
      <c r="F65" s="436"/>
      <c r="G65" s="79">
        <v>0</v>
      </c>
      <c r="H65" s="465" t="s">
        <v>152</v>
      </c>
    </row>
    <row r="66" spans="2:8" ht="15.6" x14ac:dyDescent="0.3">
      <c r="B66" s="113">
        <v>42736</v>
      </c>
      <c r="C66" s="105" t="s">
        <v>111</v>
      </c>
      <c r="D66" s="434"/>
      <c r="E66" s="436" t="s">
        <v>146</v>
      </c>
      <c r="F66" s="436"/>
      <c r="G66" s="79">
        <v>0</v>
      </c>
      <c r="H66" s="465" t="s">
        <v>152</v>
      </c>
    </row>
    <row r="67" spans="2:8" ht="15.6" x14ac:dyDescent="0.3">
      <c r="B67" s="113">
        <v>42887</v>
      </c>
      <c r="C67" s="105" t="s">
        <v>114</v>
      </c>
      <c r="D67" s="434"/>
      <c r="E67" s="436" t="s">
        <v>146</v>
      </c>
      <c r="F67" s="436"/>
      <c r="G67" s="79">
        <v>0</v>
      </c>
      <c r="H67" s="465" t="s">
        <v>152</v>
      </c>
    </row>
    <row r="68" spans="2:8" ht="15.6" x14ac:dyDescent="0.3">
      <c r="B68" s="113">
        <v>43405</v>
      </c>
      <c r="C68" s="105" t="s">
        <v>116</v>
      </c>
      <c r="D68" s="434"/>
      <c r="E68" s="436" t="s">
        <v>144</v>
      </c>
      <c r="F68" s="436"/>
      <c r="G68" s="79">
        <v>0</v>
      </c>
      <c r="H68" s="465" t="s">
        <v>152</v>
      </c>
    </row>
    <row r="69" spans="2:8" ht="15.6" x14ac:dyDescent="0.3">
      <c r="B69" s="113">
        <v>43405</v>
      </c>
      <c r="C69" s="105" t="s">
        <v>115</v>
      </c>
      <c r="D69" s="434"/>
      <c r="E69" s="436" t="s">
        <v>144</v>
      </c>
      <c r="F69" s="436"/>
      <c r="G69" s="79">
        <v>0</v>
      </c>
      <c r="H69" s="465"/>
    </row>
    <row r="70" spans="2:8" ht="15.6" x14ac:dyDescent="0.3">
      <c r="B70" s="94">
        <v>43405</v>
      </c>
      <c r="C70" s="105" t="s">
        <v>117</v>
      </c>
      <c r="D70" s="434"/>
      <c r="E70" s="436" t="s">
        <v>144</v>
      </c>
      <c r="F70" s="436"/>
      <c r="G70" s="79"/>
      <c r="H70" s="464"/>
    </row>
    <row r="71" spans="2:8" ht="15.6" x14ac:dyDescent="0.3">
      <c r="B71" s="100" t="s">
        <v>159</v>
      </c>
      <c r="C71" s="116" t="s">
        <v>47</v>
      </c>
      <c r="D71" s="434"/>
      <c r="E71" s="435" t="s">
        <v>76</v>
      </c>
      <c r="F71" s="435"/>
      <c r="G71" s="102"/>
      <c r="H71" s="464"/>
    </row>
    <row r="72" spans="2:8" ht="15.6" x14ac:dyDescent="0.3">
      <c r="B72" s="93" t="s">
        <v>191</v>
      </c>
      <c r="C72" s="105" t="s">
        <v>47</v>
      </c>
      <c r="D72" s="434"/>
      <c r="E72" s="436" t="s">
        <v>76</v>
      </c>
      <c r="F72" s="436"/>
      <c r="G72" s="80"/>
      <c r="H72" s="465"/>
    </row>
    <row r="73" spans="2:8" ht="15.6" x14ac:dyDescent="0.3">
      <c r="B73" s="93" t="s">
        <v>192</v>
      </c>
      <c r="C73" s="105" t="s">
        <v>50</v>
      </c>
      <c r="D73" s="434"/>
      <c r="E73" s="436" t="s">
        <v>76</v>
      </c>
      <c r="F73" s="436"/>
      <c r="G73" s="79"/>
      <c r="H73" s="465"/>
    </row>
    <row r="74" spans="2:8" ht="15.6" x14ac:dyDescent="0.3">
      <c r="B74" s="93" t="s">
        <v>192</v>
      </c>
      <c r="C74" s="105" t="s">
        <v>49</v>
      </c>
      <c r="D74" s="434"/>
      <c r="E74" s="436" t="s">
        <v>76</v>
      </c>
      <c r="F74" s="436"/>
      <c r="G74" s="79"/>
      <c r="H74" s="465"/>
    </row>
    <row r="75" spans="2:8" ht="15.6" x14ac:dyDescent="0.3">
      <c r="B75" s="93" t="s">
        <v>192</v>
      </c>
      <c r="C75" s="105" t="s">
        <v>52</v>
      </c>
      <c r="D75" s="434"/>
      <c r="E75" s="436" t="s">
        <v>76</v>
      </c>
      <c r="F75" s="436"/>
      <c r="G75" s="79"/>
      <c r="H75" s="465"/>
    </row>
    <row r="76" spans="2:8" ht="15.6" x14ac:dyDescent="0.3">
      <c r="B76" s="93" t="s">
        <v>192</v>
      </c>
      <c r="C76" s="105" t="s">
        <v>53</v>
      </c>
      <c r="D76" s="434"/>
      <c r="E76" s="436" t="s">
        <v>76</v>
      </c>
      <c r="F76" s="436"/>
      <c r="G76" s="79"/>
      <c r="H76" s="465"/>
    </row>
    <row r="77" spans="2:8" ht="15.6" x14ac:dyDescent="0.3">
      <c r="B77" s="93" t="s">
        <v>193</v>
      </c>
      <c r="C77" s="105" t="s">
        <v>65</v>
      </c>
      <c r="D77" s="434"/>
      <c r="E77" s="436">
        <v>400000</v>
      </c>
      <c r="F77" s="436"/>
      <c r="G77" s="79">
        <v>0</v>
      </c>
      <c r="H77" s="465"/>
    </row>
    <row r="78" spans="2:8" ht="15.6" x14ac:dyDescent="0.3">
      <c r="B78" s="93" t="s">
        <v>193</v>
      </c>
      <c r="C78" s="105" t="s">
        <v>67</v>
      </c>
      <c r="D78" s="434"/>
      <c r="E78" s="436">
        <v>1500000</v>
      </c>
      <c r="F78" s="436"/>
      <c r="G78" s="79">
        <v>0</v>
      </c>
      <c r="H78" s="465"/>
    </row>
    <row r="79" spans="2:8" ht="15.6" x14ac:dyDescent="0.3">
      <c r="B79" s="93" t="s">
        <v>193</v>
      </c>
      <c r="C79" s="105" t="s">
        <v>69</v>
      </c>
      <c r="D79" s="434"/>
      <c r="E79" s="436">
        <v>23000000</v>
      </c>
      <c r="F79" s="436"/>
      <c r="G79" s="79"/>
      <c r="H79" s="465"/>
    </row>
    <row r="80" spans="2:8" ht="15.6" x14ac:dyDescent="0.3">
      <c r="B80" s="93" t="s">
        <v>193</v>
      </c>
      <c r="C80" s="105" t="s">
        <v>73</v>
      </c>
      <c r="D80" s="434"/>
      <c r="E80" s="436" t="s">
        <v>76</v>
      </c>
      <c r="F80" s="436"/>
      <c r="G80" s="79"/>
      <c r="H80" s="465"/>
    </row>
    <row r="81" spans="2:8" ht="15.6" x14ac:dyDescent="0.3">
      <c r="B81" s="93" t="s">
        <v>193</v>
      </c>
      <c r="C81" s="105" t="s">
        <v>75</v>
      </c>
      <c r="D81" s="434"/>
      <c r="E81" s="436" t="s">
        <v>76</v>
      </c>
      <c r="F81" s="436"/>
      <c r="G81" s="79"/>
      <c r="H81" s="465"/>
    </row>
    <row r="82" spans="2:8" ht="15.6" x14ac:dyDescent="0.3">
      <c r="B82" s="93" t="s">
        <v>194</v>
      </c>
      <c r="C82" s="105" t="s">
        <v>86</v>
      </c>
      <c r="D82" s="434"/>
      <c r="E82" s="436" t="s">
        <v>76</v>
      </c>
      <c r="F82" s="436"/>
      <c r="G82" s="79"/>
      <c r="H82" s="465"/>
    </row>
    <row r="83" spans="2:8" ht="15.6" x14ac:dyDescent="0.3">
      <c r="B83" s="97" t="s">
        <v>181</v>
      </c>
      <c r="C83" s="106" t="s">
        <v>94</v>
      </c>
      <c r="D83" s="434"/>
      <c r="E83" s="443" t="s">
        <v>76</v>
      </c>
      <c r="F83" s="443"/>
      <c r="G83" s="88"/>
      <c r="H83" s="465"/>
    </row>
    <row r="84" spans="2:8" ht="15.6" x14ac:dyDescent="0.3">
      <c r="B84" s="97" t="s">
        <v>195</v>
      </c>
      <c r="C84" s="106" t="s">
        <v>95</v>
      </c>
      <c r="D84" s="434"/>
      <c r="E84" s="443" t="s">
        <v>76</v>
      </c>
      <c r="F84" s="443"/>
      <c r="G84" s="88"/>
      <c r="H84" s="465"/>
    </row>
    <row r="85" spans="2:8" ht="15.6" x14ac:dyDescent="0.3">
      <c r="B85" s="98">
        <v>42826</v>
      </c>
      <c r="C85" s="106" t="s">
        <v>97</v>
      </c>
      <c r="D85" s="434"/>
      <c r="E85" s="443" t="s">
        <v>145</v>
      </c>
      <c r="F85" s="443"/>
      <c r="G85" s="88"/>
      <c r="H85" s="465"/>
    </row>
    <row r="86" spans="2:8" ht="15.6" x14ac:dyDescent="0.3">
      <c r="B86" s="98">
        <v>43405</v>
      </c>
      <c r="C86" s="106" t="s">
        <v>98</v>
      </c>
      <c r="D86" s="434"/>
      <c r="E86" s="443" t="s">
        <v>144</v>
      </c>
      <c r="F86" s="443"/>
      <c r="G86" s="88"/>
      <c r="H86" s="465"/>
    </row>
    <row r="87" spans="2:8" ht="15.6" x14ac:dyDescent="0.3">
      <c r="B87" s="98">
        <v>43405</v>
      </c>
      <c r="C87" s="106" t="s">
        <v>99</v>
      </c>
      <c r="D87" s="434"/>
      <c r="E87" s="443" t="s">
        <v>144</v>
      </c>
      <c r="F87" s="443"/>
      <c r="G87" s="88"/>
      <c r="H87" s="465"/>
    </row>
    <row r="88" spans="2:8" ht="15.6" x14ac:dyDescent="0.3">
      <c r="B88" s="98"/>
      <c r="C88" s="106" t="s">
        <v>102</v>
      </c>
      <c r="D88" s="434"/>
      <c r="E88" s="443"/>
      <c r="F88" s="443"/>
      <c r="G88" s="88"/>
      <c r="H88" s="465"/>
    </row>
    <row r="89" spans="2:8" ht="15.6" x14ac:dyDescent="0.3">
      <c r="B89" s="98">
        <v>43405</v>
      </c>
      <c r="C89" s="106" t="s">
        <v>100</v>
      </c>
      <c r="D89" s="434"/>
      <c r="E89" s="443" t="s">
        <v>144</v>
      </c>
      <c r="F89" s="443"/>
      <c r="G89" s="88"/>
      <c r="H89" s="465"/>
    </row>
    <row r="90" spans="2:8" ht="15.6" x14ac:dyDescent="0.3">
      <c r="B90" s="98">
        <v>43405</v>
      </c>
      <c r="C90" s="106" t="s">
        <v>101</v>
      </c>
      <c r="D90" s="434"/>
      <c r="E90" s="443" t="s">
        <v>144</v>
      </c>
      <c r="F90" s="443"/>
      <c r="G90" s="88"/>
      <c r="H90" s="465"/>
    </row>
    <row r="91" spans="2:8" ht="15.6" x14ac:dyDescent="0.3">
      <c r="B91" s="98">
        <v>43405</v>
      </c>
      <c r="C91" s="106" t="s">
        <v>103</v>
      </c>
      <c r="D91" s="434"/>
      <c r="E91" s="443" t="s">
        <v>144</v>
      </c>
      <c r="F91" s="443"/>
      <c r="G91" s="88"/>
      <c r="H91" s="465"/>
    </row>
    <row r="92" spans="2:8" ht="15.6" x14ac:dyDescent="0.3">
      <c r="B92" s="98">
        <v>43405</v>
      </c>
      <c r="C92" s="106" t="s">
        <v>104</v>
      </c>
      <c r="D92" s="434"/>
      <c r="E92" s="443" t="s">
        <v>144</v>
      </c>
      <c r="F92" s="443"/>
      <c r="G92" s="88"/>
      <c r="H92" s="465"/>
    </row>
    <row r="93" spans="2:8" ht="15.6" x14ac:dyDescent="0.3">
      <c r="B93" s="98">
        <v>43405</v>
      </c>
      <c r="C93" s="106" t="s">
        <v>105</v>
      </c>
      <c r="D93" s="434"/>
      <c r="E93" s="443" t="s">
        <v>144</v>
      </c>
      <c r="F93" s="443"/>
      <c r="G93" s="88"/>
      <c r="H93" s="465"/>
    </row>
    <row r="94" spans="2:8" ht="15.6" x14ac:dyDescent="0.3">
      <c r="B94" s="98">
        <v>43405</v>
      </c>
      <c r="C94" s="106" t="s">
        <v>106</v>
      </c>
      <c r="D94" s="434"/>
      <c r="E94" s="443" t="s">
        <v>144</v>
      </c>
      <c r="F94" s="443"/>
      <c r="G94" s="88"/>
      <c r="H94" s="465"/>
    </row>
    <row r="95" spans="2:8" ht="15.6" x14ac:dyDescent="0.3">
      <c r="B95" s="98">
        <v>43556</v>
      </c>
      <c r="C95" s="106" t="s">
        <v>107</v>
      </c>
      <c r="D95" s="434"/>
      <c r="E95" s="443" t="s">
        <v>145</v>
      </c>
      <c r="F95" s="443"/>
      <c r="G95" s="88"/>
      <c r="H95" s="465"/>
    </row>
    <row r="96" spans="2:8" ht="15.6" x14ac:dyDescent="0.3">
      <c r="B96" s="98">
        <v>42795</v>
      </c>
      <c r="C96" s="106" t="s">
        <v>112</v>
      </c>
      <c r="D96" s="434"/>
      <c r="E96" s="443" t="s">
        <v>148</v>
      </c>
      <c r="F96" s="443"/>
      <c r="G96" s="88"/>
      <c r="H96" s="465"/>
    </row>
    <row r="97" spans="2:8" ht="15.6" x14ac:dyDescent="0.3">
      <c r="B97" s="98">
        <v>43952</v>
      </c>
      <c r="C97" s="106" t="s">
        <v>201</v>
      </c>
      <c r="D97" s="434"/>
      <c r="E97" s="443"/>
      <c r="F97" s="443"/>
      <c r="G97" s="88"/>
      <c r="H97" s="465"/>
    </row>
    <row r="98" spans="2:8" ht="16.2" thickBot="1" x14ac:dyDescent="0.35">
      <c r="B98" s="99"/>
      <c r="C98" s="117"/>
      <c r="D98" s="153"/>
      <c r="E98" s="87"/>
      <c r="F98" s="87"/>
      <c r="G98" s="87"/>
      <c r="H98" s="468"/>
    </row>
    <row r="101" spans="2:8" x14ac:dyDescent="0.3">
      <c r="B101" s="10" t="s">
        <v>16</v>
      </c>
      <c r="C101" s="10"/>
      <c r="D101" s="11"/>
    </row>
    <row r="102" spans="2:8" x14ac:dyDescent="0.3">
      <c r="B102" s="11" t="s">
        <v>14</v>
      </c>
      <c r="C102" s="11"/>
      <c r="D102" s="11" t="s">
        <v>193</v>
      </c>
    </row>
    <row r="103" spans="2:8" x14ac:dyDescent="0.3">
      <c r="B103" s="11" t="s">
        <v>8</v>
      </c>
      <c r="C103" s="11"/>
      <c r="D103" s="11" t="s">
        <v>221</v>
      </c>
    </row>
    <row r="104" spans="2:8" x14ac:dyDescent="0.3">
      <c r="B104" s="11" t="s">
        <v>10</v>
      </c>
      <c r="C104" s="11"/>
      <c r="D104" s="11" t="s">
        <v>222</v>
      </c>
    </row>
    <row r="105" spans="2:8" x14ac:dyDescent="0.3">
      <c r="B105" s="11" t="s">
        <v>12</v>
      </c>
      <c r="C105" s="11"/>
      <c r="D105" s="11" t="s">
        <v>223</v>
      </c>
    </row>
    <row r="106" spans="2:8" x14ac:dyDescent="0.3">
      <c r="B106" s="11" t="s">
        <v>11</v>
      </c>
      <c r="C106" s="11"/>
      <c r="D106" s="11" t="s">
        <v>224</v>
      </c>
    </row>
    <row r="107" spans="2:8" x14ac:dyDescent="0.3">
      <c r="B107" s="11" t="s">
        <v>13</v>
      </c>
      <c r="C107" s="11"/>
      <c r="D107" s="11" t="s">
        <v>192</v>
      </c>
    </row>
    <row r="108" spans="2:8" x14ac:dyDescent="0.3">
      <c r="B108" s="11" t="s">
        <v>15</v>
      </c>
      <c r="C108" s="11"/>
      <c r="D108" s="11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56"/>
  <sheetViews>
    <sheetView zoomScale="95" zoomScaleNormal="95" workbookViewId="0">
      <pane ySplit="4" topLeftCell="A14" activePane="bottomLeft" state="frozen"/>
      <selection activeCell="B1" sqref="B1"/>
      <selection pane="bottomLeft" activeCell="C128" sqref="C128"/>
    </sheetView>
  </sheetViews>
  <sheetFormatPr baseColWidth="10" defaultRowHeight="14.4" x14ac:dyDescent="0.3"/>
  <cols>
    <col min="2" max="2" width="21.109375" customWidth="1"/>
    <col min="3" max="3" width="45.33203125" customWidth="1"/>
    <col min="4" max="4" width="14.33203125" customWidth="1"/>
    <col min="5" max="5" width="38" style="157" customWidth="1"/>
    <col min="6" max="6" width="46.109375" customWidth="1"/>
  </cols>
  <sheetData>
    <row r="1" spans="1:9" ht="25.8" x14ac:dyDescent="0.3">
      <c r="B1" s="549"/>
      <c r="C1" s="549"/>
      <c r="D1" s="549"/>
      <c r="E1" s="154"/>
    </row>
    <row r="2" spans="1:9" ht="25.8" x14ac:dyDescent="0.3">
      <c r="B2" s="73"/>
      <c r="C2" s="73"/>
      <c r="D2" s="73"/>
      <c r="E2" s="154"/>
      <c r="H2" s="10"/>
      <c r="I2" s="11"/>
    </row>
    <row r="3" spans="1:9" ht="26.4" thickBot="1" x14ac:dyDescent="0.35">
      <c r="B3" s="73"/>
      <c r="C3" s="73"/>
      <c r="D3" s="73"/>
      <c r="E3" s="154"/>
      <c r="H3" s="11"/>
      <c r="I3" s="11"/>
    </row>
    <row r="4" spans="1:9" ht="36.75" customHeight="1" thickBot="1" x14ac:dyDescent="0.4">
      <c r="A4" s="83" t="s">
        <v>35</v>
      </c>
      <c r="B4" s="56" t="s">
        <v>57</v>
      </c>
      <c r="C4" s="17" t="s">
        <v>0</v>
      </c>
      <c r="D4" s="129" t="s">
        <v>91</v>
      </c>
      <c r="E4" s="129" t="s">
        <v>232</v>
      </c>
      <c r="F4" s="18" t="s">
        <v>3</v>
      </c>
      <c r="G4" s="16"/>
    </row>
    <row r="5" spans="1:9" s="157" customFormat="1" ht="36.75" customHeight="1" x14ac:dyDescent="0.3">
      <c r="A5">
        <f t="shared" ref="A5:A69" si="0">A6+1</f>
        <v>110</v>
      </c>
      <c r="B5" s="95"/>
      <c r="C5" s="512"/>
      <c r="D5" s="112"/>
      <c r="E5" s="91"/>
      <c r="F5" s="513"/>
    </row>
    <row r="6" spans="1:9" s="157" customFormat="1" ht="36.75" customHeight="1" x14ac:dyDescent="0.3">
      <c r="A6">
        <f t="shared" si="0"/>
        <v>109</v>
      </c>
      <c r="B6" s="516"/>
      <c r="C6" s="517"/>
      <c r="D6" s="112"/>
      <c r="E6" s="208"/>
      <c r="F6" s="513"/>
    </row>
    <row r="7" spans="1:9" ht="36.75" customHeight="1" x14ac:dyDescent="0.3">
      <c r="A7">
        <f t="shared" si="0"/>
        <v>108</v>
      </c>
      <c r="B7" s="86" t="e">
        <f>'Fiche Activité CIAU'!B296</f>
        <v>#REF!</v>
      </c>
      <c r="C7" s="518" t="str">
        <f>'Fiche Activité CIAU'!A296</f>
        <v>M. TAY Komi Biova Benoit</v>
      </c>
      <c r="D7" s="128" t="s">
        <v>42</v>
      </c>
      <c r="E7" s="91"/>
      <c r="F7" s="75"/>
    </row>
    <row r="8" spans="1:9" ht="36.75" customHeight="1" x14ac:dyDescent="0.3">
      <c r="A8">
        <f t="shared" si="0"/>
        <v>107</v>
      </c>
      <c r="B8" s="86" t="str">
        <f>'Fiche Activité CIAU'!B146</f>
        <v>BOAD 05/2023/LT</v>
      </c>
      <c r="C8" s="518" t="str">
        <f>'Fiche Activité CIAU'!A146</f>
        <v xml:space="preserve">Boad - Guérites </v>
      </c>
      <c r="D8" s="128" t="s">
        <v>42</v>
      </c>
      <c r="E8" s="91"/>
      <c r="F8" s="75"/>
    </row>
    <row r="9" spans="1:9" ht="36.75" customHeight="1" x14ac:dyDescent="0.3">
      <c r="A9">
        <f t="shared" si="0"/>
        <v>106</v>
      </c>
      <c r="B9" s="86" t="str">
        <f>'Fiche Activité CIAU'!B147</f>
        <v>BOAD 06/2024/LT</v>
      </c>
      <c r="C9" s="80" t="str">
        <f>'Fiche Activité CIAU'!A298</f>
        <v>Boad - centre de loisirs</v>
      </c>
      <c r="D9" s="128" t="s">
        <v>42</v>
      </c>
      <c r="E9" s="91"/>
      <c r="F9" s="75"/>
    </row>
    <row r="10" spans="1:9" ht="36.75" customHeight="1" x14ac:dyDescent="0.3">
      <c r="A10">
        <f t="shared" si="0"/>
        <v>105</v>
      </c>
      <c r="B10" s="86" t="str">
        <f>'Fiche Activité CIAU'!B299</f>
        <v>BOAD 07/2023/LT</v>
      </c>
      <c r="C10" s="80" t="str">
        <f>'Fiche Activité CIAU'!A299</f>
        <v>Boad - Centre de documentation</v>
      </c>
      <c r="D10" s="128" t="s">
        <v>42</v>
      </c>
      <c r="E10" s="91"/>
      <c r="F10" s="125"/>
    </row>
    <row r="11" spans="1:9" ht="36.75" customHeight="1" x14ac:dyDescent="0.3">
      <c r="A11">
        <f t="shared" si="0"/>
        <v>104</v>
      </c>
      <c r="B11" s="86" t="str">
        <f>'Fiche Activité CIAU'!B300</f>
        <v>BOAD 08/2024/LT</v>
      </c>
      <c r="C11" s="80" t="str">
        <f>'Fiche Activité CIAU'!A300</f>
        <v>Boad - Bureaux DPA</v>
      </c>
      <c r="D11" s="128" t="s">
        <v>42</v>
      </c>
      <c r="E11" s="91"/>
      <c r="F11" s="125"/>
    </row>
    <row r="12" spans="1:9" ht="36.75" customHeight="1" x14ac:dyDescent="0.3">
      <c r="A12">
        <f t="shared" si="0"/>
        <v>103</v>
      </c>
      <c r="B12" s="86" t="str">
        <f>'Fiche Activité CIAU'!B301</f>
        <v>BOAD 09/2024/LT</v>
      </c>
      <c r="C12" s="80" t="str">
        <f>'Fiche Activité CIAU'!A301</f>
        <v>Boad - villa vice président</v>
      </c>
      <c r="D12" s="128" t="s">
        <v>42</v>
      </c>
      <c r="E12" s="91"/>
      <c r="F12" s="125"/>
    </row>
    <row r="13" spans="1:9" ht="36.75" customHeight="1" x14ac:dyDescent="0.3">
      <c r="A13">
        <f t="shared" si="0"/>
        <v>102</v>
      </c>
      <c r="B13" s="86" t="str">
        <f>'Fiche Activité CIAU'!B302</f>
        <v>Villa01/11-2023/LT</v>
      </c>
      <c r="C13" s="80" t="str">
        <f>'Fiche Activité CIAU'!A302</f>
        <v>Villa Mme Anthony</v>
      </c>
      <c r="D13" s="515" t="s">
        <v>42</v>
      </c>
      <c r="E13" s="91"/>
      <c r="F13" s="75"/>
    </row>
    <row r="14" spans="1:9" ht="36.75" customHeight="1" x14ac:dyDescent="0.3">
      <c r="A14">
        <f t="shared" si="0"/>
        <v>101</v>
      </c>
      <c r="B14" s="86" t="s">
        <v>267</v>
      </c>
      <c r="C14" s="80" t="s">
        <v>266</v>
      </c>
      <c r="D14" s="128" t="s">
        <v>42</v>
      </c>
      <c r="E14" s="91"/>
      <c r="F14" s="75"/>
    </row>
    <row r="15" spans="1:9" ht="36.75" customHeight="1" x14ac:dyDescent="0.3">
      <c r="A15">
        <f t="shared" si="0"/>
        <v>100</v>
      </c>
      <c r="B15" s="86" t="str">
        <f>'Fiche Activité CIAU'!B148</f>
        <v>PNHG 01/05-2023</v>
      </c>
      <c r="C15" s="80" t="str">
        <f>'Fiche Activité CIAU'!A148</f>
        <v>Kara</v>
      </c>
      <c r="D15" s="128" t="s">
        <v>42</v>
      </c>
      <c r="E15" s="91"/>
      <c r="F15" s="75"/>
    </row>
    <row r="16" spans="1:9" ht="36.75" customHeight="1" x14ac:dyDescent="0.3">
      <c r="A16">
        <f t="shared" si="0"/>
        <v>99</v>
      </c>
      <c r="B16" s="86" t="str">
        <f>'Fiche Activité CIAU'!B304</f>
        <v>Villa02/04-024/LT</v>
      </c>
      <c r="C16" s="80" t="str">
        <f>'Fiche Activité CIAU'!A304</f>
        <v>Résidence Luc Arthur ADJOU</v>
      </c>
      <c r="D16" s="128" t="s">
        <v>42</v>
      </c>
      <c r="E16" s="91"/>
      <c r="F16" s="75"/>
    </row>
    <row r="17" spans="1:6" ht="36.75" customHeight="1" x14ac:dyDescent="0.3">
      <c r="A17">
        <f t="shared" si="0"/>
        <v>98</v>
      </c>
      <c r="B17" s="86" t="str">
        <f>'Fiche Activité CIAU'!B153</f>
        <v>NSIA 01/08-2022</v>
      </c>
      <c r="C17" s="80" t="str">
        <f>'Fiche Activité CIAU'!A153</f>
        <v>NSIA Totsi</v>
      </c>
      <c r="D17" s="128" t="s">
        <v>42</v>
      </c>
      <c r="E17" s="91"/>
      <c r="F17" s="75"/>
    </row>
    <row r="18" spans="1:6" ht="36.75" customHeight="1" x14ac:dyDescent="0.3">
      <c r="A18">
        <f t="shared" si="0"/>
        <v>97</v>
      </c>
      <c r="B18" s="86" t="str">
        <f>'Fiche Activité CIAU'!B154</f>
        <v>NSIA 02/08-2022</v>
      </c>
      <c r="C18" s="80" t="str">
        <f>'Fiche Activité CIAU'!A154</f>
        <v>NSIA Dapaong</v>
      </c>
      <c r="D18" s="128" t="s">
        <v>42</v>
      </c>
      <c r="E18" s="91"/>
      <c r="F18" s="75"/>
    </row>
    <row r="19" spans="1:6" ht="36.75" customHeight="1" x14ac:dyDescent="0.3">
      <c r="A19">
        <f t="shared" si="0"/>
        <v>96</v>
      </c>
      <c r="B19" s="86" t="s">
        <v>153</v>
      </c>
      <c r="C19" s="76" t="s">
        <v>197</v>
      </c>
      <c r="D19" s="128" t="s">
        <v>42</v>
      </c>
      <c r="E19" s="91"/>
      <c r="F19" s="75"/>
    </row>
    <row r="20" spans="1:6" ht="36.75" customHeight="1" x14ac:dyDescent="0.3">
      <c r="A20">
        <f t="shared" si="0"/>
        <v>95</v>
      </c>
      <c r="B20" s="86" t="s">
        <v>154</v>
      </c>
      <c r="C20" s="76" t="s">
        <v>93</v>
      </c>
      <c r="D20" s="128" t="s">
        <v>42</v>
      </c>
      <c r="E20" s="91"/>
      <c r="F20" s="75"/>
    </row>
    <row r="21" spans="1:6" ht="36.75" customHeight="1" x14ac:dyDescent="0.3">
      <c r="A21">
        <f t="shared" si="0"/>
        <v>94</v>
      </c>
      <c r="B21" s="86" t="s">
        <v>155</v>
      </c>
      <c r="C21" s="76" t="s">
        <v>87</v>
      </c>
      <c r="D21" s="128" t="s">
        <v>42</v>
      </c>
      <c r="E21" s="91"/>
      <c r="F21" s="75"/>
    </row>
    <row r="22" spans="1:6" ht="36.75" customHeight="1" x14ac:dyDescent="0.3">
      <c r="A22">
        <f t="shared" si="0"/>
        <v>93</v>
      </c>
      <c r="B22" s="93" t="s">
        <v>156</v>
      </c>
      <c r="C22" s="76" t="s">
        <v>88</v>
      </c>
      <c r="D22" s="128" t="s">
        <v>42</v>
      </c>
      <c r="E22" s="91"/>
      <c r="F22" s="75"/>
    </row>
    <row r="23" spans="1:6" ht="36.75" customHeight="1" x14ac:dyDescent="0.3">
      <c r="A23">
        <f t="shared" si="0"/>
        <v>92</v>
      </c>
      <c r="B23" s="93" t="s">
        <v>157</v>
      </c>
      <c r="C23" s="76" t="s">
        <v>39</v>
      </c>
      <c r="D23" s="128" t="s">
        <v>42</v>
      </c>
      <c r="E23" s="91"/>
      <c r="F23" s="75"/>
    </row>
    <row r="24" spans="1:6" ht="36.75" customHeight="1" x14ac:dyDescent="0.3">
      <c r="A24">
        <f t="shared" si="0"/>
        <v>91</v>
      </c>
      <c r="B24" s="93" t="s">
        <v>157</v>
      </c>
      <c r="C24" s="76" t="s">
        <v>89</v>
      </c>
      <c r="D24" s="128" t="s">
        <v>42</v>
      </c>
      <c r="E24" s="91"/>
      <c r="F24" s="75"/>
    </row>
    <row r="25" spans="1:6" ht="36.75" customHeight="1" x14ac:dyDescent="0.3">
      <c r="A25">
        <f t="shared" si="0"/>
        <v>90</v>
      </c>
      <c r="B25" s="93" t="s">
        <v>153</v>
      </c>
      <c r="C25" s="76" t="s">
        <v>54</v>
      </c>
      <c r="D25" s="128" t="s">
        <v>42</v>
      </c>
      <c r="E25" s="91"/>
      <c r="F25" s="75"/>
    </row>
    <row r="26" spans="1:6" ht="36.75" customHeight="1" x14ac:dyDescent="0.3">
      <c r="A26">
        <f t="shared" si="0"/>
        <v>89</v>
      </c>
      <c r="B26" s="93" t="s">
        <v>157</v>
      </c>
      <c r="C26" s="76" t="s">
        <v>74</v>
      </c>
      <c r="D26" s="128" t="s">
        <v>42</v>
      </c>
      <c r="E26" s="91"/>
      <c r="F26" s="75"/>
    </row>
    <row r="27" spans="1:6" ht="36.75" customHeight="1" x14ac:dyDescent="0.3">
      <c r="A27">
        <f t="shared" si="0"/>
        <v>88</v>
      </c>
      <c r="B27" s="93" t="s">
        <v>158</v>
      </c>
      <c r="C27" s="76" t="s">
        <v>55</v>
      </c>
      <c r="D27" s="128" t="s">
        <v>42</v>
      </c>
      <c r="E27" s="91"/>
      <c r="F27" s="75"/>
    </row>
    <row r="28" spans="1:6" ht="36.75" customHeight="1" x14ac:dyDescent="0.3">
      <c r="A28">
        <f t="shared" si="0"/>
        <v>87</v>
      </c>
      <c r="B28" s="93" t="s">
        <v>157</v>
      </c>
      <c r="C28" s="76" t="s">
        <v>196</v>
      </c>
      <c r="D28" s="128" t="s">
        <v>42</v>
      </c>
      <c r="E28" s="91"/>
      <c r="F28" s="75"/>
    </row>
    <row r="29" spans="1:6" ht="36.75" customHeight="1" x14ac:dyDescent="0.3">
      <c r="A29">
        <f t="shared" si="0"/>
        <v>86</v>
      </c>
      <c r="B29" s="93" t="s">
        <v>159</v>
      </c>
      <c r="C29" s="76" t="s">
        <v>43</v>
      </c>
      <c r="D29" s="128" t="s">
        <v>42</v>
      </c>
      <c r="E29" s="91"/>
      <c r="F29" s="75"/>
    </row>
    <row r="30" spans="1:6" ht="36.75" customHeight="1" x14ac:dyDescent="0.3">
      <c r="A30">
        <f t="shared" si="0"/>
        <v>85</v>
      </c>
      <c r="B30" s="93" t="s">
        <v>160</v>
      </c>
      <c r="C30" s="76" t="s">
        <v>113</v>
      </c>
      <c r="D30" s="128" t="s">
        <v>42</v>
      </c>
      <c r="E30" s="91"/>
      <c r="F30" s="75"/>
    </row>
    <row r="31" spans="1:6" ht="36.75" customHeight="1" x14ac:dyDescent="0.3">
      <c r="A31">
        <f t="shared" si="0"/>
        <v>84</v>
      </c>
      <c r="B31" s="93" t="s">
        <v>161</v>
      </c>
      <c r="C31" s="76" t="s">
        <v>45</v>
      </c>
      <c r="D31" s="128" t="s">
        <v>42</v>
      </c>
      <c r="E31" s="91"/>
      <c r="F31" s="75"/>
    </row>
    <row r="32" spans="1:6" ht="36.75" customHeight="1" x14ac:dyDescent="0.3">
      <c r="A32">
        <f t="shared" si="0"/>
        <v>83</v>
      </c>
      <c r="B32" s="93" t="s">
        <v>162</v>
      </c>
      <c r="C32" s="76" t="s">
        <v>66</v>
      </c>
      <c r="D32" s="128" t="s">
        <v>42</v>
      </c>
      <c r="E32" s="91"/>
      <c r="F32" s="75"/>
    </row>
    <row r="33" spans="1:7" ht="36.75" customHeight="1" x14ac:dyDescent="0.3">
      <c r="A33">
        <f t="shared" si="0"/>
        <v>82</v>
      </c>
      <c r="B33" s="93" t="s">
        <v>163</v>
      </c>
      <c r="C33" s="76" t="s">
        <v>72</v>
      </c>
      <c r="D33" s="128" t="s">
        <v>42</v>
      </c>
      <c r="E33" s="91"/>
      <c r="F33" s="75"/>
    </row>
    <row r="34" spans="1:7" ht="36.75" customHeight="1" x14ac:dyDescent="0.3">
      <c r="A34">
        <f t="shared" si="0"/>
        <v>81</v>
      </c>
      <c r="B34" s="93" t="s">
        <v>164</v>
      </c>
      <c r="C34" s="76" t="s">
        <v>90</v>
      </c>
      <c r="D34" s="128" t="s">
        <v>42</v>
      </c>
      <c r="E34" s="91"/>
      <c r="F34" s="75"/>
      <c r="G34" s="81"/>
    </row>
    <row r="35" spans="1:7" ht="36.75" customHeight="1" x14ac:dyDescent="0.3">
      <c r="A35">
        <f t="shared" si="0"/>
        <v>80</v>
      </c>
      <c r="B35" s="93" t="s">
        <v>165</v>
      </c>
      <c r="C35" s="76" t="s">
        <v>77</v>
      </c>
      <c r="D35" s="128" t="s">
        <v>42</v>
      </c>
      <c r="E35" s="91"/>
      <c r="F35" s="75"/>
    </row>
    <row r="36" spans="1:7" ht="36.75" customHeight="1" thickBot="1" x14ac:dyDescent="0.35">
      <c r="A36">
        <f t="shared" si="0"/>
        <v>79</v>
      </c>
      <c r="B36" s="97" t="s">
        <v>166</v>
      </c>
      <c r="C36" s="76" t="s">
        <v>78</v>
      </c>
      <c r="D36" s="128" t="s">
        <v>42</v>
      </c>
      <c r="E36" s="91"/>
      <c r="F36" s="75"/>
    </row>
    <row r="37" spans="1:7" ht="36.75" customHeight="1" x14ac:dyDescent="0.3">
      <c r="A37">
        <f t="shared" si="0"/>
        <v>78</v>
      </c>
      <c r="B37" s="143" t="s">
        <v>167</v>
      </c>
      <c r="C37" s="76" t="s">
        <v>108</v>
      </c>
      <c r="D37" s="128" t="s">
        <v>42</v>
      </c>
      <c r="E37" s="91"/>
      <c r="F37" s="75"/>
    </row>
    <row r="38" spans="1:7" ht="36.75" customHeight="1" x14ac:dyDescent="0.3">
      <c r="A38">
        <f t="shared" si="0"/>
        <v>77</v>
      </c>
      <c r="B38" s="94" t="s">
        <v>168</v>
      </c>
      <c r="C38" s="76" t="s">
        <v>110</v>
      </c>
      <c r="D38" s="128" t="s">
        <v>42</v>
      </c>
      <c r="E38" s="91"/>
      <c r="F38" s="75"/>
    </row>
    <row r="39" spans="1:7" ht="36.75" customHeight="1" x14ac:dyDescent="0.3">
      <c r="A39">
        <f t="shared" si="0"/>
        <v>76</v>
      </c>
      <c r="B39" s="94" t="s">
        <v>169</v>
      </c>
      <c r="C39" s="77" t="s">
        <v>124</v>
      </c>
      <c r="D39" s="128" t="s">
        <v>42</v>
      </c>
      <c r="E39" s="91"/>
      <c r="F39" s="75"/>
    </row>
    <row r="40" spans="1:7" ht="36.75" customHeight="1" x14ac:dyDescent="0.3">
      <c r="A40">
        <f t="shared" si="0"/>
        <v>75</v>
      </c>
      <c r="B40" s="94" t="s">
        <v>169</v>
      </c>
      <c r="C40" s="76" t="s">
        <v>141</v>
      </c>
      <c r="D40" s="128" t="s">
        <v>42</v>
      </c>
      <c r="E40" s="91"/>
      <c r="F40" s="75"/>
    </row>
    <row r="41" spans="1:7" ht="36.75" customHeight="1" x14ac:dyDescent="0.3">
      <c r="A41">
        <f t="shared" si="0"/>
        <v>74</v>
      </c>
      <c r="B41" s="122" t="s">
        <v>153</v>
      </c>
      <c r="C41" s="76" t="s">
        <v>204</v>
      </c>
      <c r="D41" s="128" t="s">
        <v>42</v>
      </c>
      <c r="E41" s="91"/>
      <c r="F41" s="75"/>
    </row>
    <row r="42" spans="1:7" ht="36.75" customHeight="1" x14ac:dyDescent="0.3">
      <c r="A42">
        <f t="shared" si="0"/>
        <v>73</v>
      </c>
      <c r="B42" s="113" t="s">
        <v>198</v>
      </c>
      <c r="C42" s="76" t="s">
        <v>199</v>
      </c>
      <c r="D42" s="128" t="s">
        <v>42</v>
      </c>
      <c r="E42" s="91"/>
      <c r="F42" s="75"/>
    </row>
    <row r="43" spans="1:7" ht="36.75" customHeight="1" x14ac:dyDescent="0.3">
      <c r="A43">
        <f t="shared" si="0"/>
        <v>72</v>
      </c>
      <c r="B43" s="124" t="s">
        <v>198</v>
      </c>
      <c r="C43" s="74" t="s">
        <v>200</v>
      </c>
      <c r="D43" s="128" t="s">
        <v>42</v>
      </c>
      <c r="E43" s="91"/>
      <c r="F43" s="75"/>
    </row>
    <row r="44" spans="1:7" ht="36.75" customHeight="1" x14ac:dyDescent="0.3">
      <c r="A44">
        <f t="shared" si="0"/>
        <v>71</v>
      </c>
      <c r="B44" s="113" t="s">
        <v>203</v>
      </c>
      <c r="C44" s="78" t="s">
        <v>202</v>
      </c>
      <c r="D44" s="145" t="s">
        <v>42</v>
      </c>
      <c r="E44" s="91"/>
      <c r="F44" s="75"/>
    </row>
    <row r="45" spans="1:7" ht="36.75" customHeight="1" x14ac:dyDescent="0.3">
      <c r="A45">
        <f t="shared" si="0"/>
        <v>70</v>
      </c>
      <c r="B45" s="94" t="s">
        <v>206</v>
      </c>
      <c r="C45" s="78" t="s">
        <v>205</v>
      </c>
      <c r="D45" s="146" t="s">
        <v>42</v>
      </c>
      <c r="E45" s="91"/>
      <c r="F45" s="75"/>
    </row>
    <row r="46" spans="1:7" ht="36.75" customHeight="1" x14ac:dyDescent="0.3">
      <c r="A46">
        <f t="shared" si="0"/>
        <v>69</v>
      </c>
      <c r="B46" s="94" t="s">
        <v>206</v>
      </c>
      <c r="C46" s="78" t="s">
        <v>137</v>
      </c>
      <c r="D46" s="146" t="s">
        <v>42</v>
      </c>
      <c r="E46" s="91"/>
      <c r="F46" s="75"/>
    </row>
    <row r="47" spans="1:7" ht="36.75" customHeight="1" x14ac:dyDescent="0.3">
      <c r="A47">
        <f t="shared" si="0"/>
        <v>68</v>
      </c>
      <c r="B47" s="94" t="s">
        <v>206</v>
      </c>
      <c r="C47" s="78" t="s">
        <v>83</v>
      </c>
      <c r="D47" s="146" t="s">
        <v>42</v>
      </c>
      <c r="E47" s="91"/>
      <c r="F47" s="75"/>
    </row>
    <row r="48" spans="1:7" ht="36.75" customHeight="1" x14ac:dyDescent="0.3">
      <c r="A48">
        <f t="shared" si="0"/>
        <v>67</v>
      </c>
      <c r="B48" s="100" t="s">
        <v>172</v>
      </c>
      <c r="C48" s="125" t="s">
        <v>36</v>
      </c>
      <c r="D48" s="130" t="s">
        <v>56</v>
      </c>
      <c r="E48" s="91"/>
      <c r="F48" s="75"/>
    </row>
    <row r="49" spans="1:6" ht="36.75" customHeight="1" x14ac:dyDescent="0.3">
      <c r="A49">
        <f t="shared" si="0"/>
        <v>66</v>
      </c>
      <c r="B49" s="93" t="s">
        <v>173</v>
      </c>
      <c r="C49" s="127" t="s">
        <v>62</v>
      </c>
      <c r="D49" s="130" t="s">
        <v>56</v>
      </c>
      <c r="E49" s="91"/>
      <c r="F49" s="75"/>
    </row>
    <row r="50" spans="1:6" ht="36.75" customHeight="1" x14ac:dyDescent="0.3">
      <c r="A50">
        <f t="shared" si="0"/>
        <v>65</v>
      </c>
      <c r="B50" s="93" t="s">
        <v>174</v>
      </c>
      <c r="C50" s="78" t="s">
        <v>63</v>
      </c>
      <c r="D50" s="130" t="s">
        <v>56</v>
      </c>
      <c r="E50" s="91"/>
      <c r="F50" s="75"/>
    </row>
    <row r="51" spans="1:6" ht="36.75" customHeight="1" x14ac:dyDescent="0.3">
      <c r="A51">
        <f t="shared" si="0"/>
        <v>64</v>
      </c>
      <c r="B51" s="93" t="s">
        <v>171</v>
      </c>
      <c r="C51" s="78" t="s">
        <v>64</v>
      </c>
      <c r="D51" s="130" t="s">
        <v>56</v>
      </c>
      <c r="E51" s="91"/>
      <c r="F51" s="75"/>
    </row>
    <row r="52" spans="1:6" ht="36.75" customHeight="1" x14ac:dyDescent="0.3">
      <c r="A52">
        <f t="shared" si="0"/>
        <v>63</v>
      </c>
      <c r="B52" s="93" t="s">
        <v>175</v>
      </c>
      <c r="C52" s="78" t="s">
        <v>133</v>
      </c>
      <c r="D52" s="130" t="s">
        <v>56</v>
      </c>
      <c r="E52" s="91"/>
      <c r="F52" s="75"/>
    </row>
    <row r="53" spans="1:6" ht="36.75" customHeight="1" x14ac:dyDescent="0.3">
      <c r="A53">
        <f t="shared" si="0"/>
        <v>62</v>
      </c>
      <c r="B53" s="93" t="s">
        <v>171</v>
      </c>
      <c r="C53" s="78" t="s">
        <v>70</v>
      </c>
      <c r="D53" s="130" t="s">
        <v>56</v>
      </c>
      <c r="E53" s="91"/>
      <c r="F53" s="75"/>
    </row>
    <row r="54" spans="1:6" ht="36.75" customHeight="1" x14ac:dyDescent="0.3">
      <c r="A54">
        <f t="shared" si="0"/>
        <v>61</v>
      </c>
      <c r="B54" s="93" t="s">
        <v>176</v>
      </c>
      <c r="C54" s="78" t="s">
        <v>80</v>
      </c>
      <c r="D54" s="130" t="s">
        <v>56</v>
      </c>
      <c r="E54" s="91"/>
      <c r="F54" s="75"/>
    </row>
    <row r="55" spans="1:6" ht="36.75" customHeight="1" x14ac:dyDescent="0.3">
      <c r="A55">
        <f t="shared" si="0"/>
        <v>60</v>
      </c>
      <c r="B55" s="93" t="s">
        <v>177</v>
      </c>
      <c r="C55" s="78" t="s">
        <v>81</v>
      </c>
      <c r="D55" s="130" t="s">
        <v>56</v>
      </c>
      <c r="E55" s="91"/>
      <c r="F55" s="75"/>
    </row>
    <row r="56" spans="1:6" ht="36.75" customHeight="1" x14ac:dyDescent="0.3">
      <c r="A56">
        <f t="shared" si="0"/>
        <v>59</v>
      </c>
      <c r="B56" s="93" t="s">
        <v>178</v>
      </c>
      <c r="C56" s="78" t="s">
        <v>82</v>
      </c>
      <c r="D56" s="130" t="s">
        <v>56</v>
      </c>
      <c r="E56" s="91"/>
      <c r="F56" s="75"/>
    </row>
    <row r="57" spans="1:6" ht="36.75" customHeight="1" x14ac:dyDescent="0.3">
      <c r="A57">
        <f t="shared" si="0"/>
        <v>58</v>
      </c>
      <c r="B57" s="93" t="s">
        <v>179</v>
      </c>
      <c r="C57" s="78" t="s">
        <v>84</v>
      </c>
      <c r="D57" s="130" t="s">
        <v>56</v>
      </c>
      <c r="E57" s="91"/>
      <c r="F57" s="75"/>
    </row>
    <row r="58" spans="1:6" ht="36.75" customHeight="1" x14ac:dyDescent="0.3">
      <c r="A58">
        <f t="shared" si="0"/>
        <v>57</v>
      </c>
      <c r="B58" s="93" t="s">
        <v>180</v>
      </c>
      <c r="C58" s="78" t="s">
        <v>85</v>
      </c>
      <c r="D58" s="130" t="s">
        <v>56</v>
      </c>
      <c r="E58" s="91"/>
      <c r="F58" s="75"/>
    </row>
    <row r="59" spans="1:6" ht="36.75" customHeight="1" x14ac:dyDescent="0.3">
      <c r="A59">
        <f t="shared" si="0"/>
        <v>56</v>
      </c>
      <c r="B59" s="96" t="s">
        <v>181</v>
      </c>
      <c r="C59" s="78" t="s">
        <v>96</v>
      </c>
      <c r="D59" s="130" t="s">
        <v>56</v>
      </c>
      <c r="E59" s="91"/>
      <c r="F59" s="75"/>
    </row>
    <row r="60" spans="1:6" ht="36.75" customHeight="1" x14ac:dyDescent="0.3">
      <c r="A60">
        <f t="shared" si="0"/>
        <v>55</v>
      </c>
      <c r="B60" s="96" t="s">
        <v>182</v>
      </c>
      <c r="C60" s="78" t="s">
        <v>118</v>
      </c>
      <c r="D60" s="130" t="s">
        <v>56</v>
      </c>
      <c r="E60" s="91"/>
      <c r="F60" s="75"/>
    </row>
    <row r="61" spans="1:6" ht="36.75" customHeight="1" x14ac:dyDescent="0.3">
      <c r="A61">
        <f t="shared" si="0"/>
        <v>54</v>
      </c>
      <c r="B61" s="96" t="s">
        <v>183</v>
      </c>
      <c r="C61" s="78" t="s">
        <v>119</v>
      </c>
      <c r="D61" s="130" t="s">
        <v>56</v>
      </c>
      <c r="E61" s="91"/>
      <c r="F61" s="75"/>
    </row>
    <row r="62" spans="1:6" ht="36.75" customHeight="1" x14ac:dyDescent="0.3">
      <c r="A62">
        <f t="shared" si="0"/>
        <v>53</v>
      </c>
      <c r="B62" s="96" t="s">
        <v>183</v>
      </c>
      <c r="C62" s="78" t="s">
        <v>120</v>
      </c>
      <c r="D62" s="130" t="s">
        <v>56</v>
      </c>
      <c r="E62" s="91"/>
      <c r="F62" s="75"/>
    </row>
    <row r="63" spans="1:6" ht="36.75" customHeight="1" x14ac:dyDescent="0.3">
      <c r="A63">
        <f t="shared" si="0"/>
        <v>52</v>
      </c>
      <c r="B63" s="96" t="s">
        <v>183</v>
      </c>
      <c r="C63" s="78" t="s">
        <v>121</v>
      </c>
      <c r="D63" s="130" t="s">
        <v>56</v>
      </c>
      <c r="E63" s="91"/>
      <c r="F63" s="75"/>
    </row>
    <row r="64" spans="1:6" ht="36.75" customHeight="1" x14ac:dyDescent="0.3">
      <c r="A64">
        <f t="shared" si="0"/>
        <v>51</v>
      </c>
      <c r="B64" s="96" t="s">
        <v>183</v>
      </c>
      <c r="C64" s="78" t="s">
        <v>123</v>
      </c>
      <c r="D64" s="130" t="s">
        <v>56</v>
      </c>
      <c r="E64" s="91"/>
      <c r="F64" s="75"/>
    </row>
    <row r="65" spans="1:6" ht="36.75" customHeight="1" x14ac:dyDescent="0.3">
      <c r="A65">
        <f t="shared" si="0"/>
        <v>50</v>
      </c>
      <c r="B65" s="96" t="s">
        <v>183</v>
      </c>
      <c r="C65" s="78" t="s">
        <v>125</v>
      </c>
      <c r="D65" s="130" t="s">
        <v>56</v>
      </c>
      <c r="E65" s="91"/>
      <c r="F65" s="75"/>
    </row>
    <row r="66" spans="1:6" ht="36.75" customHeight="1" x14ac:dyDescent="0.3">
      <c r="A66">
        <f t="shared" si="0"/>
        <v>49</v>
      </c>
      <c r="B66" s="96" t="s">
        <v>167</v>
      </c>
      <c r="C66" s="78" t="s">
        <v>126</v>
      </c>
      <c r="D66" s="130" t="s">
        <v>56</v>
      </c>
      <c r="E66" s="91"/>
      <c r="F66" s="75"/>
    </row>
    <row r="67" spans="1:6" ht="36.75" customHeight="1" x14ac:dyDescent="0.3">
      <c r="A67">
        <f t="shared" si="0"/>
        <v>48</v>
      </c>
      <c r="B67" s="96" t="s">
        <v>183</v>
      </c>
      <c r="C67" s="78" t="s">
        <v>127</v>
      </c>
      <c r="D67" s="130" t="s">
        <v>56</v>
      </c>
      <c r="E67" s="91"/>
      <c r="F67" s="75"/>
    </row>
    <row r="68" spans="1:6" ht="36.75" customHeight="1" x14ac:dyDescent="0.3">
      <c r="A68">
        <f t="shared" si="0"/>
        <v>47</v>
      </c>
      <c r="B68" s="96" t="s">
        <v>183</v>
      </c>
      <c r="C68" s="78" t="s">
        <v>128</v>
      </c>
      <c r="D68" s="130" t="s">
        <v>56</v>
      </c>
      <c r="E68" s="91"/>
      <c r="F68" s="75"/>
    </row>
    <row r="69" spans="1:6" ht="36.75" customHeight="1" x14ac:dyDescent="0.3">
      <c r="A69">
        <f t="shared" si="0"/>
        <v>46</v>
      </c>
      <c r="B69" s="96" t="s">
        <v>183</v>
      </c>
      <c r="C69" s="78" t="s">
        <v>129</v>
      </c>
      <c r="D69" s="130" t="s">
        <v>56</v>
      </c>
      <c r="E69" s="91"/>
      <c r="F69" s="75"/>
    </row>
    <row r="70" spans="1:6" ht="36.75" customHeight="1" thickBot="1" x14ac:dyDescent="0.35">
      <c r="A70">
        <f t="shared" ref="A70:A102" si="1">A71+1</f>
        <v>45</v>
      </c>
      <c r="B70" s="96" t="s">
        <v>167</v>
      </c>
      <c r="C70" s="78" t="s">
        <v>130</v>
      </c>
      <c r="D70" s="131" t="s">
        <v>56</v>
      </c>
      <c r="E70" s="121"/>
      <c r="F70" s="75"/>
    </row>
    <row r="71" spans="1:6" ht="36.75" customHeight="1" x14ac:dyDescent="0.3">
      <c r="A71">
        <f t="shared" si="1"/>
        <v>44</v>
      </c>
      <c r="B71" s="96" t="s">
        <v>185</v>
      </c>
      <c r="C71" s="78" t="s">
        <v>131</v>
      </c>
      <c r="D71" s="147" t="s">
        <v>56</v>
      </c>
      <c r="E71" s="91"/>
      <c r="F71" s="75"/>
    </row>
    <row r="72" spans="1:6" ht="36.75" customHeight="1" x14ac:dyDescent="0.3">
      <c r="A72">
        <f t="shared" si="1"/>
        <v>43</v>
      </c>
      <c r="B72" s="96" t="s">
        <v>170</v>
      </c>
      <c r="C72" s="78" t="s">
        <v>132</v>
      </c>
      <c r="D72" s="148" t="s">
        <v>56</v>
      </c>
      <c r="E72" s="91"/>
      <c r="F72" s="75"/>
    </row>
    <row r="73" spans="1:6" ht="36.75" customHeight="1" x14ac:dyDescent="0.3">
      <c r="A73">
        <f t="shared" si="1"/>
        <v>42</v>
      </c>
      <c r="B73" s="96" t="s">
        <v>186</v>
      </c>
      <c r="C73" s="78" t="s">
        <v>134</v>
      </c>
      <c r="D73" s="148" t="s">
        <v>56</v>
      </c>
      <c r="E73" s="91"/>
      <c r="F73" s="75"/>
    </row>
    <row r="74" spans="1:6" ht="36.75" customHeight="1" thickBot="1" x14ac:dyDescent="0.35">
      <c r="A74">
        <f t="shared" si="1"/>
        <v>41</v>
      </c>
      <c r="B74" s="98" t="s">
        <v>186</v>
      </c>
      <c r="C74" s="125" t="s">
        <v>135</v>
      </c>
      <c r="D74" s="148" t="s">
        <v>56</v>
      </c>
      <c r="E74" s="91"/>
      <c r="F74" s="75"/>
    </row>
    <row r="75" spans="1:6" ht="15.6" x14ac:dyDescent="0.3">
      <c r="A75">
        <f t="shared" si="1"/>
        <v>40</v>
      </c>
      <c r="B75" s="115" t="s">
        <v>187</v>
      </c>
      <c r="C75" s="69" t="s">
        <v>46</v>
      </c>
      <c r="D75" s="132" t="s">
        <v>92</v>
      </c>
      <c r="E75" s="112"/>
      <c r="F75" s="69"/>
    </row>
    <row r="76" spans="1:6" ht="15.6" x14ac:dyDescent="0.3">
      <c r="A76">
        <f t="shared" si="1"/>
        <v>39</v>
      </c>
      <c r="B76" s="86" t="s">
        <v>175</v>
      </c>
      <c r="C76" s="69" t="s">
        <v>48</v>
      </c>
      <c r="D76" s="132" t="s">
        <v>92</v>
      </c>
      <c r="E76" s="112"/>
      <c r="F76" s="69"/>
    </row>
    <row r="77" spans="1:6" ht="15.6" x14ac:dyDescent="0.3">
      <c r="A77">
        <f t="shared" si="1"/>
        <v>38</v>
      </c>
      <c r="B77" s="86" t="s">
        <v>188</v>
      </c>
      <c r="C77" s="69" t="s">
        <v>51</v>
      </c>
      <c r="D77" s="132" t="s">
        <v>92</v>
      </c>
      <c r="E77" s="112"/>
      <c r="F77" s="69"/>
    </row>
    <row r="78" spans="1:6" ht="15.6" x14ac:dyDescent="0.3">
      <c r="A78">
        <f t="shared" si="1"/>
        <v>37</v>
      </c>
      <c r="B78" s="86" t="s">
        <v>173</v>
      </c>
      <c r="C78" s="69" t="s">
        <v>122</v>
      </c>
      <c r="D78" s="132" t="s">
        <v>92</v>
      </c>
      <c r="E78" s="112"/>
      <c r="F78" s="69"/>
    </row>
    <row r="79" spans="1:6" ht="15.6" x14ac:dyDescent="0.3">
      <c r="A79">
        <f t="shared" si="1"/>
        <v>36</v>
      </c>
      <c r="B79" s="86" t="s">
        <v>189</v>
      </c>
      <c r="C79" s="69" t="s">
        <v>60</v>
      </c>
      <c r="D79" s="132" t="s">
        <v>92</v>
      </c>
      <c r="E79" s="112"/>
      <c r="F79" s="69"/>
    </row>
    <row r="80" spans="1:6" ht="15.6" x14ac:dyDescent="0.3">
      <c r="A80">
        <f t="shared" si="1"/>
        <v>35</v>
      </c>
      <c r="B80" s="86" t="s">
        <v>190</v>
      </c>
      <c r="C80" s="69" t="s">
        <v>68</v>
      </c>
      <c r="D80" s="132" t="s">
        <v>92</v>
      </c>
      <c r="E80" s="112"/>
      <c r="F80" s="69"/>
    </row>
    <row r="81" spans="1:6" ht="15.6" x14ac:dyDescent="0.3">
      <c r="A81">
        <f t="shared" si="1"/>
        <v>34</v>
      </c>
      <c r="B81" s="86" t="s">
        <v>183</v>
      </c>
      <c r="C81" s="69" t="s">
        <v>71</v>
      </c>
      <c r="D81" s="132" t="s">
        <v>92</v>
      </c>
      <c r="E81" s="112"/>
      <c r="F81" s="69"/>
    </row>
    <row r="82" spans="1:6" ht="15.6" x14ac:dyDescent="0.3">
      <c r="A82">
        <f t="shared" si="1"/>
        <v>33</v>
      </c>
      <c r="B82" s="113">
        <v>43435</v>
      </c>
      <c r="C82" s="126" t="s">
        <v>109</v>
      </c>
      <c r="D82" s="132" t="s">
        <v>92</v>
      </c>
      <c r="E82" s="112"/>
      <c r="F82" s="69"/>
    </row>
    <row r="83" spans="1:6" ht="15.6" x14ac:dyDescent="0.3">
      <c r="A83">
        <f t="shared" si="1"/>
        <v>32</v>
      </c>
      <c r="B83" s="113">
        <v>42736</v>
      </c>
      <c r="C83" s="69" t="s">
        <v>111</v>
      </c>
      <c r="D83" s="133" t="s">
        <v>92</v>
      </c>
      <c r="E83" s="91"/>
      <c r="F83" s="69"/>
    </row>
    <row r="84" spans="1:6" ht="15.6" x14ac:dyDescent="0.3">
      <c r="A84">
        <f t="shared" si="1"/>
        <v>31</v>
      </c>
      <c r="B84" s="113">
        <v>42887</v>
      </c>
      <c r="C84" s="69" t="s">
        <v>114</v>
      </c>
      <c r="D84" s="133" t="s">
        <v>92</v>
      </c>
      <c r="E84" s="91"/>
      <c r="F84" s="69"/>
    </row>
    <row r="85" spans="1:6" ht="15.6" x14ac:dyDescent="0.3">
      <c r="A85">
        <f t="shared" si="1"/>
        <v>30</v>
      </c>
      <c r="B85" s="113">
        <v>43405</v>
      </c>
      <c r="C85" s="69" t="s">
        <v>116</v>
      </c>
      <c r="D85" s="134" t="s">
        <v>92</v>
      </c>
      <c r="E85" s="85"/>
      <c r="F85" s="69"/>
    </row>
    <row r="86" spans="1:6" ht="15.6" x14ac:dyDescent="0.3">
      <c r="A86">
        <f t="shared" si="1"/>
        <v>29</v>
      </c>
      <c r="B86" s="113">
        <v>43405</v>
      </c>
      <c r="C86" s="69" t="s">
        <v>115</v>
      </c>
      <c r="D86" s="134" t="s">
        <v>92</v>
      </c>
      <c r="E86" s="85"/>
      <c r="F86" s="69"/>
    </row>
    <row r="87" spans="1:6" ht="15.6" x14ac:dyDescent="0.3">
      <c r="A87">
        <f t="shared" si="1"/>
        <v>28</v>
      </c>
      <c r="B87" s="94">
        <v>43405</v>
      </c>
      <c r="C87" s="69" t="s">
        <v>117</v>
      </c>
      <c r="D87" s="134" t="s">
        <v>92</v>
      </c>
      <c r="E87" s="85"/>
      <c r="F87" s="69"/>
    </row>
    <row r="88" spans="1:6" ht="15.6" x14ac:dyDescent="0.3">
      <c r="A88">
        <f t="shared" si="1"/>
        <v>27</v>
      </c>
      <c r="B88" s="100" t="s">
        <v>159</v>
      </c>
      <c r="C88" s="69" t="s">
        <v>47</v>
      </c>
      <c r="D88" s="134" t="s">
        <v>92</v>
      </c>
      <c r="E88" s="85"/>
      <c r="F88" s="69"/>
    </row>
    <row r="89" spans="1:6" ht="15.6" x14ac:dyDescent="0.3">
      <c r="A89">
        <f t="shared" si="1"/>
        <v>26</v>
      </c>
      <c r="B89" s="93" t="s">
        <v>191</v>
      </c>
      <c r="C89" s="69" t="s">
        <v>47</v>
      </c>
      <c r="D89" s="134" t="s">
        <v>92</v>
      </c>
      <c r="E89" s="85"/>
      <c r="F89" s="69"/>
    </row>
    <row r="90" spans="1:6" ht="15.6" x14ac:dyDescent="0.3">
      <c r="A90">
        <f t="shared" si="1"/>
        <v>25</v>
      </c>
      <c r="B90" s="93" t="s">
        <v>192</v>
      </c>
      <c r="C90" s="69" t="s">
        <v>50</v>
      </c>
      <c r="D90" s="134" t="s">
        <v>92</v>
      </c>
      <c r="E90" s="85"/>
      <c r="F90" s="69"/>
    </row>
    <row r="91" spans="1:6" ht="15.6" x14ac:dyDescent="0.3">
      <c r="A91">
        <f t="shared" si="1"/>
        <v>24</v>
      </c>
      <c r="B91" s="93" t="s">
        <v>192</v>
      </c>
      <c r="C91" s="69" t="s">
        <v>49</v>
      </c>
      <c r="D91" s="134" t="s">
        <v>92</v>
      </c>
      <c r="E91" s="85"/>
      <c r="F91" s="69"/>
    </row>
    <row r="92" spans="1:6" ht="15.6" x14ac:dyDescent="0.3">
      <c r="A92">
        <f t="shared" si="1"/>
        <v>23</v>
      </c>
      <c r="B92" s="93" t="s">
        <v>192</v>
      </c>
      <c r="C92" s="69" t="s">
        <v>52</v>
      </c>
      <c r="D92" s="134" t="s">
        <v>92</v>
      </c>
      <c r="E92" s="85"/>
      <c r="F92" s="69"/>
    </row>
    <row r="93" spans="1:6" ht="15.6" x14ac:dyDescent="0.3">
      <c r="A93">
        <f t="shared" si="1"/>
        <v>22</v>
      </c>
      <c r="B93" s="93" t="s">
        <v>192</v>
      </c>
      <c r="C93" s="69" t="s">
        <v>53</v>
      </c>
      <c r="D93" s="134" t="s">
        <v>92</v>
      </c>
      <c r="E93" s="85"/>
      <c r="F93" s="69"/>
    </row>
    <row r="94" spans="1:6" ht="15.6" x14ac:dyDescent="0.3">
      <c r="A94">
        <f t="shared" si="1"/>
        <v>21</v>
      </c>
      <c r="B94" s="93" t="s">
        <v>193</v>
      </c>
      <c r="C94" s="69" t="s">
        <v>65</v>
      </c>
      <c r="D94" s="134" t="s">
        <v>92</v>
      </c>
      <c r="E94" s="85"/>
      <c r="F94" s="69"/>
    </row>
    <row r="95" spans="1:6" ht="15.6" x14ac:dyDescent="0.3">
      <c r="A95">
        <f t="shared" si="1"/>
        <v>20</v>
      </c>
      <c r="B95" s="93" t="s">
        <v>193</v>
      </c>
      <c r="C95" s="69" t="s">
        <v>67</v>
      </c>
      <c r="D95" s="134" t="s">
        <v>92</v>
      </c>
      <c r="E95" s="85"/>
      <c r="F95" s="69"/>
    </row>
    <row r="96" spans="1:6" ht="15.6" x14ac:dyDescent="0.3">
      <c r="A96">
        <f t="shared" si="1"/>
        <v>19</v>
      </c>
      <c r="B96" s="93" t="s">
        <v>193</v>
      </c>
      <c r="C96" s="69" t="s">
        <v>69</v>
      </c>
      <c r="D96" s="135" t="s">
        <v>92</v>
      </c>
      <c r="E96" s="89"/>
      <c r="F96" s="69"/>
    </row>
    <row r="97" spans="1:6" ht="15.6" x14ac:dyDescent="0.3">
      <c r="A97">
        <f t="shared" si="1"/>
        <v>18</v>
      </c>
      <c r="B97" s="93" t="s">
        <v>193</v>
      </c>
      <c r="C97" s="69" t="s">
        <v>73</v>
      </c>
      <c r="D97" s="135" t="s">
        <v>92</v>
      </c>
      <c r="E97" s="89"/>
      <c r="F97" s="69"/>
    </row>
    <row r="98" spans="1:6" ht="15.6" x14ac:dyDescent="0.3">
      <c r="A98">
        <f t="shared" si="1"/>
        <v>17</v>
      </c>
      <c r="B98" s="93" t="s">
        <v>193</v>
      </c>
      <c r="C98" s="69" t="s">
        <v>75</v>
      </c>
      <c r="D98" s="135" t="s">
        <v>92</v>
      </c>
      <c r="E98" s="89"/>
      <c r="F98" s="69"/>
    </row>
    <row r="99" spans="1:6" ht="15.6" x14ac:dyDescent="0.3">
      <c r="A99">
        <f t="shared" si="1"/>
        <v>16</v>
      </c>
      <c r="B99" s="93" t="s">
        <v>194</v>
      </c>
      <c r="C99" s="69" t="s">
        <v>86</v>
      </c>
      <c r="D99" s="135" t="s">
        <v>92</v>
      </c>
      <c r="E99" s="89"/>
      <c r="F99" s="69"/>
    </row>
    <row r="100" spans="1:6" ht="15.6" x14ac:dyDescent="0.3">
      <c r="A100">
        <f t="shared" si="1"/>
        <v>15</v>
      </c>
      <c r="B100" s="97" t="s">
        <v>181</v>
      </c>
      <c r="C100" s="69" t="s">
        <v>94</v>
      </c>
      <c r="D100" s="135" t="s">
        <v>92</v>
      </c>
      <c r="E100" s="89"/>
      <c r="F100" s="69"/>
    </row>
    <row r="101" spans="1:6" ht="15.6" x14ac:dyDescent="0.3">
      <c r="A101">
        <f t="shared" si="1"/>
        <v>14</v>
      </c>
      <c r="B101" s="97" t="s">
        <v>195</v>
      </c>
      <c r="C101" s="69" t="s">
        <v>95</v>
      </c>
      <c r="D101" s="135" t="s">
        <v>92</v>
      </c>
      <c r="E101" s="89"/>
      <c r="F101" s="69"/>
    </row>
    <row r="102" spans="1:6" ht="15.6" x14ac:dyDescent="0.3">
      <c r="A102">
        <f t="shared" si="1"/>
        <v>13</v>
      </c>
      <c r="B102" s="98">
        <v>42826</v>
      </c>
      <c r="C102" s="69" t="s">
        <v>97</v>
      </c>
      <c r="D102" s="135" t="s">
        <v>92</v>
      </c>
      <c r="E102" s="89"/>
      <c r="F102" s="69"/>
    </row>
    <row r="103" spans="1:6" ht="15.6" x14ac:dyDescent="0.3">
      <c r="A103">
        <f t="shared" ref="A103:A111" si="2">A104+1</f>
        <v>12</v>
      </c>
      <c r="B103" s="98">
        <v>43405</v>
      </c>
      <c r="C103" s="69" t="s">
        <v>98</v>
      </c>
      <c r="D103" s="135" t="s">
        <v>92</v>
      </c>
      <c r="E103" s="89"/>
      <c r="F103" s="69"/>
    </row>
    <row r="104" spans="1:6" ht="15.6" x14ac:dyDescent="0.3">
      <c r="A104">
        <f t="shared" si="2"/>
        <v>11</v>
      </c>
      <c r="B104" s="98">
        <v>43405</v>
      </c>
      <c r="C104" s="69" t="s">
        <v>99</v>
      </c>
      <c r="D104" s="135" t="s">
        <v>92</v>
      </c>
      <c r="E104" s="89"/>
      <c r="F104" s="69"/>
    </row>
    <row r="105" spans="1:6" ht="15.6" x14ac:dyDescent="0.3">
      <c r="A105">
        <f t="shared" si="2"/>
        <v>10</v>
      </c>
      <c r="B105" s="98"/>
      <c r="C105" s="69" t="s">
        <v>102</v>
      </c>
      <c r="D105" s="135" t="s">
        <v>92</v>
      </c>
      <c r="E105" s="89"/>
      <c r="F105" s="69"/>
    </row>
    <row r="106" spans="1:6" ht="15.6" x14ac:dyDescent="0.3">
      <c r="A106">
        <f t="shared" si="2"/>
        <v>9</v>
      </c>
      <c r="B106" s="98">
        <v>43405</v>
      </c>
      <c r="C106" s="69" t="s">
        <v>100</v>
      </c>
      <c r="D106" s="135" t="s">
        <v>92</v>
      </c>
      <c r="E106" s="89"/>
      <c r="F106" s="69"/>
    </row>
    <row r="107" spans="1:6" ht="15.6" x14ac:dyDescent="0.3">
      <c r="A107">
        <f t="shared" si="2"/>
        <v>8</v>
      </c>
      <c r="B107" s="98">
        <v>43405</v>
      </c>
      <c r="C107" s="69" t="s">
        <v>101</v>
      </c>
      <c r="D107" s="135" t="s">
        <v>92</v>
      </c>
      <c r="E107" s="89"/>
      <c r="F107" s="69"/>
    </row>
    <row r="108" spans="1:6" ht="15.6" x14ac:dyDescent="0.3">
      <c r="A108">
        <f t="shared" si="2"/>
        <v>7</v>
      </c>
      <c r="B108" s="98">
        <v>43405</v>
      </c>
      <c r="C108" s="69" t="s">
        <v>103</v>
      </c>
      <c r="D108" s="135" t="s">
        <v>92</v>
      </c>
      <c r="E108" s="89"/>
      <c r="F108" s="69"/>
    </row>
    <row r="109" spans="1:6" ht="15.6" x14ac:dyDescent="0.3">
      <c r="A109">
        <f t="shared" si="2"/>
        <v>6</v>
      </c>
      <c r="B109" s="98">
        <v>43405</v>
      </c>
      <c r="C109" s="69" t="s">
        <v>104</v>
      </c>
      <c r="D109" s="135" t="s">
        <v>92</v>
      </c>
      <c r="E109" s="89"/>
      <c r="F109" s="69"/>
    </row>
    <row r="110" spans="1:6" ht="15.6" x14ac:dyDescent="0.3">
      <c r="A110">
        <f t="shared" si="2"/>
        <v>5</v>
      </c>
      <c r="B110" s="98">
        <v>43405</v>
      </c>
      <c r="C110" s="69" t="s">
        <v>105</v>
      </c>
      <c r="D110" s="135" t="s">
        <v>92</v>
      </c>
      <c r="E110" s="89"/>
      <c r="F110" s="69"/>
    </row>
    <row r="111" spans="1:6" ht="15.6" x14ac:dyDescent="0.3">
      <c r="A111">
        <f t="shared" si="2"/>
        <v>4</v>
      </c>
      <c r="B111" s="98">
        <v>43405</v>
      </c>
      <c r="C111" s="59" t="s">
        <v>106</v>
      </c>
      <c r="D111" s="135" t="s">
        <v>92</v>
      </c>
      <c r="E111" s="89"/>
      <c r="F111" s="59"/>
    </row>
    <row r="112" spans="1:6" ht="15.6" x14ac:dyDescent="0.3">
      <c r="A112">
        <f>A113+1</f>
        <v>3</v>
      </c>
      <c r="B112" s="98">
        <v>43556</v>
      </c>
      <c r="C112" s="69" t="s">
        <v>107</v>
      </c>
      <c r="D112" s="149" t="s">
        <v>92</v>
      </c>
      <c r="E112" s="155"/>
      <c r="F112" s="69"/>
    </row>
    <row r="113" spans="1:6" ht="15.6" x14ac:dyDescent="0.3">
      <c r="A113">
        <f>A114+1</f>
        <v>2</v>
      </c>
      <c r="B113" s="98">
        <v>42795</v>
      </c>
      <c r="C113" s="69" t="s">
        <v>112</v>
      </c>
      <c r="D113" s="149" t="s">
        <v>92</v>
      </c>
      <c r="E113" s="155"/>
      <c r="F113" s="69"/>
    </row>
    <row r="114" spans="1:6" ht="15.6" x14ac:dyDescent="0.3">
      <c r="A114">
        <v>1</v>
      </c>
      <c r="B114" s="98">
        <v>43952</v>
      </c>
      <c r="C114" s="69" t="s">
        <v>201</v>
      </c>
      <c r="D114" s="149" t="s">
        <v>92</v>
      </c>
      <c r="E114" s="155"/>
      <c r="F114" s="69"/>
    </row>
    <row r="115" spans="1:6" x14ac:dyDescent="0.3">
      <c r="B115" s="69"/>
      <c r="C115" s="69"/>
      <c r="D115" s="69"/>
      <c r="E115" s="156"/>
      <c r="F115" s="69"/>
    </row>
    <row r="118" spans="1:6" x14ac:dyDescent="0.3">
      <c r="B118" s="11"/>
      <c r="C118" s="10" t="s">
        <v>16</v>
      </c>
    </row>
    <row r="119" spans="1:6" x14ac:dyDescent="0.3">
      <c r="B119" s="11" t="s">
        <v>193</v>
      </c>
      <c r="C119" s="11" t="s">
        <v>14</v>
      </c>
    </row>
    <row r="120" spans="1:6" x14ac:dyDescent="0.3">
      <c r="B120" s="11" t="s">
        <v>221</v>
      </c>
      <c r="C120" s="11" t="s">
        <v>8</v>
      </c>
    </row>
    <row r="121" spans="1:6" x14ac:dyDescent="0.3">
      <c r="B121" s="11" t="s">
        <v>222</v>
      </c>
      <c r="C121" s="11" t="s">
        <v>10</v>
      </c>
    </row>
    <row r="122" spans="1:6" x14ac:dyDescent="0.3">
      <c r="B122" s="11" t="s">
        <v>223</v>
      </c>
      <c r="C122" s="11" t="s">
        <v>12</v>
      </c>
    </row>
    <row r="123" spans="1:6" x14ac:dyDescent="0.3">
      <c r="B123" s="11" t="s">
        <v>224</v>
      </c>
      <c r="C123" s="11" t="s">
        <v>11</v>
      </c>
    </row>
    <row r="124" spans="1:6" x14ac:dyDescent="0.3">
      <c r="B124" s="11" t="s">
        <v>192</v>
      </c>
      <c r="C124" s="11" t="s">
        <v>13</v>
      </c>
    </row>
    <row r="125" spans="1:6" x14ac:dyDescent="0.3">
      <c r="B125" s="11" t="s">
        <v>225</v>
      </c>
      <c r="C125" s="11" t="s">
        <v>15</v>
      </c>
    </row>
    <row r="126" spans="1:6" x14ac:dyDescent="0.3">
      <c r="B126" s="11" t="s">
        <v>702</v>
      </c>
      <c r="C126" s="11" t="s">
        <v>703</v>
      </c>
    </row>
    <row r="956" spans="4:5" x14ac:dyDescent="0.3">
      <c r="D956" s="45"/>
      <c r="E956" s="158"/>
    </row>
  </sheetData>
  <mergeCells count="1">
    <mergeCell ref="B1:D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Liste de projets </vt:lpstr>
      <vt:lpstr>Fiche de Suivi</vt:lpstr>
      <vt:lpstr>Fiche Activité CIAU</vt:lpstr>
      <vt:lpstr>Archives</vt:lpstr>
      <vt:lpstr>Liste des contrats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AKOUVI Augustin</dc:creator>
  <cp:lastModifiedBy>Akouvi Augustin</cp:lastModifiedBy>
  <cp:lastPrinted>2024-05-27T12:53:10Z</cp:lastPrinted>
  <dcterms:created xsi:type="dcterms:W3CDTF">2020-05-11T13:23:25Z</dcterms:created>
  <dcterms:modified xsi:type="dcterms:W3CDTF">2026-02-12T15:11:12Z</dcterms:modified>
</cp:coreProperties>
</file>